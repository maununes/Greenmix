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Acompanhamento Mar26 (2)" sheetId="2" r:id="rId6"/>
    <sheet name="Acompanhamento Abr26" sheetId="3" r:id="rId7"/>
    <sheet name="DRE Report" sheetId="4" r:id="rId8"/>
    <sheet name="Comparativo" sheetId="5" r:id="rId9"/>
    <sheet name="References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<sst xmlns="http://schemas.openxmlformats.org/spreadsheetml/2006/main" uniqueCount="250">
  <si>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</si>
  <si>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</si>
  <si>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</si>
  <si>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</si>
  <si>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Acompanhamento Mar26 (2)</t>
  </si>
  <si>
    <t>Tabela 1</t>
  </si>
  <si>
    <t>GREENMIX |KPIs - MAR/26</t>
  </si>
  <si>
    <t>FATURAMENTO</t>
  </si>
  <si>
    <t>PEDIDOS</t>
  </si>
  <si>
    <t>TICKET MÉDIO</t>
  </si>
  <si>
    <t>domingo</t>
  </si>
  <si>
    <t>segunda</t>
  </si>
  <si>
    <t>terça</t>
  </si>
  <si>
    <t>Quarta</t>
  </si>
  <si>
    <t>Quinta</t>
  </si>
  <si>
    <t>Sexta</t>
  </si>
  <si>
    <t>Sabado</t>
  </si>
  <si>
    <t>Domingo</t>
  </si>
  <si>
    <t>Segunda</t>
  </si>
  <si>
    <t>Terça</t>
  </si>
  <si>
    <t>Meta Total Mar/26</t>
  </si>
  <si>
    <t>Meta 30/03</t>
  </si>
  <si>
    <t>Realizado Mar/26</t>
  </si>
  <si>
    <t>GAP Mar/26</t>
  </si>
  <si>
    <t>Fechamento do GAP Total</t>
  </si>
  <si>
    <t>% da Meta</t>
  </si>
  <si>
    <t>Meta</t>
  </si>
  <si>
    <t>Realizado</t>
  </si>
  <si>
    <t>GAP</t>
  </si>
  <si>
    <r>
      <rPr>
        <b val="1"/>
        <sz val="10"/>
        <color indexed="8"/>
        <rFont val="Arial"/>
      </rPr>
      <t>1 - domingo</t>
    </r>
  </si>
  <si>
    <r>
      <rPr>
        <b val="1"/>
        <sz val="10"/>
        <color indexed="8"/>
        <rFont val="Arial"/>
      </rPr>
      <t>2 - segunda</t>
    </r>
  </si>
  <si>
    <r>
      <rPr>
        <b val="1"/>
        <sz val="10"/>
        <color indexed="8"/>
        <rFont val="Arial"/>
      </rPr>
      <t>3 - terça</t>
    </r>
  </si>
  <si>
    <r>
      <rPr>
        <b val="1"/>
        <sz val="10"/>
        <color indexed="8"/>
        <rFont val="Arial"/>
      </rPr>
      <t>4 - Quarta</t>
    </r>
  </si>
  <si>
    <r>
      <rPr>
        <b val="1"/>
        <sz val="10"/>
        <color indexed="8"/>
        <rFont val="Arial"/>
      </rPr>
      <t>5 - Quinta</t>
    </r>
  </si>
  <si>
    <r>
      <rPr>
        <b val="1"/>
        <sz val="10"/>
        <color indexed="8"/>
        <rFont val="Arial"/>
      </rPr>
      <t>6 - Sexta</t>
    </r>
  </si>
  <si>
    <r>
      <rPr>
        <b val="1"/>
        <sz val="10"/>
        <color indexed="8"/>
        <rFont val="Arial"/>
      </rPr>
      <t>7 - Sabado</t>
    </r>
  </si>
  <si>
    <r>
      <rPr>
        <b val="1"/>
        <sz val="10"/>
        <color indexed="8"/>
        <rFont val="Arial"/>
      </rPr>
      <t>8 - Domingo</t>
    </r>
  </si>
  <si>
    <r>
      <rPr>
        <b val="1"/>
        <sz val="10"/>
        <color indexed="8"/>
        <rFont val="Arial"/>
      </rPr>
      <t>9 - segunda</t>
    </r>
  </si>
  <si>
    <r>
      <rPr>
        <b val="1"/>
        <sz val="10"/>
        <color indexed="8"/>
        <rFont val="Arial"/>
      </rPr>
      <t>10 - terça</t>
    </r>
  </si>
  <si>
    <r>
      <rPr>
        <b val="1"/>
        <sz val="10"/>
        <color indexed="8"/>
        <rFont val="Arial"/>
      </rPr>
      <t>11 - Quarta</t>
    </r>
  </si>
  <si>
    <r>
      <rPr>
        <b val="1"/>
        <sz val="10"/>
        <color indexed="8"/>
        <rFont val="Arial"/>
      </rPr>
      <t>12 - Quinta</t>
    </r>
  </si>
  <si>
    <r>
      <rPr>
        <b val="1"/>
        <sz val="10"/>
        <color indexed="8"/>
        <rFont val="Arial"/>
      </rPr>
      <t>13 - Sexta</t>
    </r>
  </si>
  <si>
    <r>
      <rPr>
        <b val="1"/>
        <sz val="10"/>
        <color indexed="8"/>
        <rFont val="Arial"/>
      </rPr>
      <t>14 - Sabado</t>
    </r>
  </si>
  <si>
    <r>
      <rPr>
        <b val="1"/>
        <sz val="10"/>
        <color indexed="8"/>
        <rFont val="Arial"/>
      </rPr>
      <t>15 - Domingo</t>
    </r>
  </si>
  <si>
    <r>
      <rPr>
        <b val="1"/>
        <sz val="10"/>
        <color indexed="8"/>
        <rFont val="Arial"/>
      </rPr>
      <t>16 - segunda</t>
    </r>
  </si>
  <si>
    <r>
      <rPr>
        <b val="1"/>
        <sz val="10"/>
        <color indexed="8"/>
        <rFont val="Arial"/>
      </rPr>
      <t>17 - terça</t>
    </r>
  </si>
  <si>
    <r>
      <rPr>
        <b val="1"/>
        <sz val="10"/>
        <color indexed="8"/>
        <rFont val="Arial"/>
      </rPr>
      <t>18 - Quarta</t>
    </r>
  </si>
  <si>
    <r>
      <rPr>
        <b val="1"/>
        <sz val="10"/>
        <color indexed="8"/>
        <rFont val="Arial"/>
      </rPr>
      <t>19 - Quinta</t>
    </r>
  </si>
  <si>
    <r>
      <rPr>
        <b val="1"/>
        <sz val="10"/>
        <color indexed="8"/>
        <rFont val="Arial"/>
      </rPr>
      <t>20 - Sexta</t>
    </r>
  </si>
  <si>
    <r>
      <rPr>
        <b val="1"/>
        <sz val="10"/>
        <color indexed="8"/>
        <rFont val="Arial"/>
      </rPr>
      <t>21 - Sabado</t>
    </r>
  </si>
  <si>
    <r>
      <rPr>
        <b val="1"/>
        <sz val="10"/>
        <color indexed="8"/>
        <rFont val="Arial"/>
      </rPr>
      <t>22 - Domingo</t>
    </r>
  </si>
  <si>
    <r>
      <rPr>
        <b val="1"/>
        <sz val="10"/>
        <color indexed="8"/>
        <rFont val="Arial"/>
      </rPr>
      <t>23 - segunda</t>
    </r>
  </si>
  <si>
    <r>
      <rPr>
        <b val="1"/>
        <sz val="10"/>
        <color indexed="8"/>
        <rFont val="Arial"/>
      </rPr>
      <t>24 - terça</t>
    </r>
  </si>
  <si>
    <r>
      <rPr>
        <b val="1"/>
        <sz val="10"/>
        <color indexed="8"/>
        <rFont val="Arial"/>
      </rPr>
      <t>25 - Quarta</t>
    </r>
  </si>
  <si>
    <r>
      <rPr>
        <b val="1"/>
        <sz val="10"/>
        <color indexed="8"/>
        <rFont val="Arial"/>
      </rPr>
      <t>26 - Quinta</t>
    </r>
  </si>
  <si>
    <r>
      <rPr>
        <b val="1"/>
        <sz val="10"/>
        <color indexed="8"/>
        <rFont val="Arial"/>
      </rPr>
      <t>27 - Sexta</t>
    </r>
  </si>
  <si>
    <r>
      <rPr>
        <b val="1"/>
        <sz val="10"/>
        <color indexed="8"/>
        <rFont val="Arial"/>
      </rPr>
      <t>28 - Sabado</t>
    </r>
  </si>
  <si>
    <r>
      <rPr>
        <b val="1"/>
        <sz val="10"/>
        <color indexed="8"/>
        <rFont val="Arial"/>
      </rPr>
      <t>29 - Domingo</t>
    </r>
  </si>
  <si>
    <r>
      <rPr>
        <b val="1"/>
        <sz val="10"/>
        <color indexed="8"/>
        <rFont val="Arial"/>
      </rPr>
      <t>30 - Segunda</t>
    </r>
  </si>
  <si>
    <r>
      <rPr>
        <b val="1"/>
        <sz val="10"/>
        <color indexed="8"/>
        <rFont val="Arial"/>
      </rPr>
      <t>31 - Terça</t>
    </r>
  </si>
  <si>
    <t>Total</t>
  </si>
  <si>
    <t>Total Realizado</t>
  </si>
  <si>
    <t>Rio Mar Restaurante</t>
  </si>
  <si>
    <t>Rio Mar</t>
  </si>
  <si>
    <t>Rio Mar Mercado</t>
  </si>
  <si>
    <t>Paiva</t>
  </si>
  <si>
    <t>Delivery</t>
  </si>
  <si>
    <t>Cabanga</t>
  </si>
  <si>
    <t>Velocity</t>
  </si>
  <si>
    <t>Lagoa Azul</t>
  </si>
  <si>
    <t>Maison</t>
  </si>
  <si>
    <t>Média diária Total</t>
  </si>
  <si>
    <t>Meta Total</t>
  </si>
  <si>
    <t>Meta Rio Mar</t>
  </si>
  <si>
    <t>Meta Paiva</t>
  </si>
  <si>
    <t>Meta Delivery</t>
  </si>
  <si>
    <t>Meta Cabanga</t>
  </si>
  <si>
    <t>Meta Velocity</t>
  </si>
  <si>
    <t>Meta Lagoa Azul</t>
  </si>
  <si>
    <t>Meta Maison</t>
  </si>
  <si>
    <t>Média Total</t>
  </si>
  <si>
    <t>Média Paiva</t>
  </si>
  <si>
    <t>Média Delivery</t>
  </si>
  <si>
    <t>Média Cabanga</t>
  </si>
  <si>
    <t>Média Velocity</t>
  </si>
  <si>
    <t>Média Lagoa Azul</t>
  </si>
  <si>
    <t>Média Maison</t>
  </si>
  <si>
    <t>Média por Dia da Semana</t>
  </si>
  <si>
    <t>META</t>
  </si>
  <si>
    <t>META ACUMULADO</t>
  </si>
  <si>
    <t>REALIZADO</t>
  </si>
  <si>
    <t>REALIZADO ACUMULADO</t>
  </si>
  <si>
    <t>8 dias</t>
  </si>
  <si>
    <t>7 dias</t>
  </si>
  <si>
    <t>2 dias</t>
  </si>
  <si>
    <t>Semana 1</t>
  </si>
  <si>
    <t>Semana 2</t>
  </si>
  <si>
    <t>Semana 3</t>
  </si>
  <si>
    <t>Semana 4</t>
  </si>
  <si>
    <t>Semana 5</t>
  </si>
  <si>
    <t>Faturamento Total</t>
  </si>
  <si>
    <r>
      <rPr>
        <sz val="10"/>
        <color indexed="8"/>
        <rFont val="Arial"/>
      </rPr>
      <t>Rio Mar</t>
    </r>
  </si>
  <si>
    <r>
      <rPr>
        <sz val="10"/>
        <color indexed="8"/>
        <rFont val="Arial"/>
      </rPr>
      <t>Paiva</t>
    </r>
  </si>
  <si>
    <r>
      <rPr>
        <sz val="10"/>
        <color indexed="8"/>
        <rFont val="Arial"/>
      </rPr>
      <t>Delivery</t>
    </r>
  </si>
  <si>
    <t>Acompanhamento Abr26</t>
  </si>
  <si>
    <t>TABELA DE META</t>
  </si>
  <si>
    <t>1. FATURAMENTO</t>
  </si>
  <si>
    <t>Fechamento</t>
  </si>
  <si>
    <r>
      <rPr>
        <b val="1"/>
        <u val="single"/>
        <sz val="10"/>
        <color indexed="8"/>
        <rFont val="Aptos Narrow"/>
      </rPr>
      <t>Quarta</t>
    </r>
  </si>
  <si>
    <r>
      <rPr>
        <b val="1"/>
        <u val="single"/>
        <sz val="10"/>
        <color indexed="8"/>
        <rFont val="Aptos Narrow"/>
      </rPr>
      <t>Quinta</t>
    </r>
  </si>
  <si>
    <r>
      <rPr>
        <b val="1"/>
        <u val="single"/>
        <sz val="10"/>
        <color indexed="8"/>
        <rFont val="Aptos Narrow"/>
      </rPr>
      <t>Sexta</t>
    </r>
  </si>
  <si>
    <r>
      <rPr>
        <b val="1"/>
        <u val="single"/>
        <sz val="10"/>
        <color indexed="8"/>
        <rFont val="Aptos Narrow"/>
      </rPr>
      <t>Sábado</t>
    </r>
  </si>
  <si>
    <r>
      <rPr>
        <b val="1"/>
        <u val="single"/>
        <sz val="10"/>
        <color indexed="8"/>
        <rFont val="Aptos Narrow"/>
      </rPr>
      <t>Domingo</t>
    </r>
  </si>
  <si>
    <r>
      <rPr>
        <b val="1"/>
        <u val="single"/>
        <sz val="10"/>
        <color indexed="8"/>
        <rFont val="Aptos Narrow"/>
      </rPr>
      <t>Segunda</t>
    </r>
  </si>
  <si>
    <r>
      <rPr>
        <b val="1"/>
        <u val="single"/>
        <sz val="10"/>
        <color indexed="8"/>
        <rFont val="Aptos Narrow"/>
      </rPr>
      <t>Terça</t>
    </r>
  </si>
  <si>
    <t>Líder</t>
  </si>
  <si>
    <t xml:space="preserve">Meta Total </t>
  </si>
  <si>
    <t>Meta Parcial</t>
  </si>
  <si>
    <t xml:space="preserve">Realizado </t>
  </si>
  <si>
    <t xml:space="preserve">GAP </t>
  </si>
  <si>
    <t xml:space="preserve">Média </t>
  </si>
  <si>
    <t xml:space="preserve">% da Meta </t>
  </si>
  <si>
    <r>
      <rPr>
        <b val="1"/>
        <sz val="10"/>
        <color indexed="8"/>
        <rFont val="Aptos Narrow"/>
      </rPr>
      <t>1 - Quarta</t>
    </r>
  </si>
  <si>
    <r>
      <rPr>
        <b val="1"/>
        <sz val="10"/>
        <color indexed="8"/>
        <rFont val="Aptos Narrow"/>
      </rPr>
      <t>2 - Quinta</t>
    </r>
  </si>
  <si>
    <r>
      <rPr>
        <b val="1"/>
        <sz val="10"/>
        <color indexed="8"/>
        <rFont val="Aptos Narrow"/>
      </rPr>
      <t>3 - Sexta</t>
    </r>
  </si>
  <si>
    <r>
      <rPr>
        <b val="1"/>
        <sz val="10"/>
        <color indexed="8"/>
        <rFont val="Aptos Narrow"/>
      </rPr>
      <t>4 - Sábado</t>
    </r>
  </si>
  <si>
    <r>
      <rPr>
        <b val="1"/>
        <sz val="10"/>
        <color indexed="8"/>
        <rFont val="Aptos Narrow"/>
      </rPr>
      <t>5 - Domingo</t>
    </r>
  </si>
  <si>
    <r>
      <rPr>
        <b val="1"/>
        <sz val="10"/>
        <color indexed="8"/>
        <rFont val="Aptos Narrow"/>
      </rPr>
      <t>6 - Segunda</t>
    </r>
  </si>
  <si>
    <r>
      <rPr>
        <b val="1"/>
        <sz val="10"/>
        <color indexed="8"/>
        <rFont val="Aptos Narrow"/>
      </rPr>
      <t>7 - Terça</t>
    </r>
  </si>
  <si>
    <r>
      <rPr>
        <b val="1"/>
        <sz val="10"/>
        <color indexed="8"/>
        <rFont val="Aptos Narrow"/>
      </rPr>
      <t>8 - Quarta</t>
    </r>
  </si>
  <si>
    <r>
      <rPr>
        <b val="1"/>
        <sz val="10"/>
        <color indexed="8"/>
        <rFont val="Aptos Narrow"/>
      </rPr>
      <t>9 - Quinta</t>
    </r>
  </si>
  <si>
    <r>
      <rPr>
        <b val="1"/>
        <sz val="10"/>
        <color indexed="8"/>
        <rFont val="Aptos Narrow"/>
      </rPr>
      <t>10 - Sexta</t>
    </r>
  </si>
  <si>
    <r>
      <rPr>
        <b val="1"/>
        <sz val="10"/>
        <color indexed="8"/>
        <rFont val="Aptos Narrow"/>
      </rPr>
      <t>11 - Sábado</t>
    </r>
  </si>
  <si>
    <r>
      <rPr>
        <b val="1"/>
        <sz val="10"/>
        <color indexed="8"/>
        <rFont val="Aptos Narrow"/>
      </rPr>
      <t>12 - Domingo</t>
    </r>
  </si>
  <si>
    <r>
      <rPr>
        <b val="1"/>
        <sz val="10"/>
        <color indexed="8"/>
        <rFont val="Aptos Narrow"/>
      </rPr>
      <t>13 - Segunda</t>
    </r>
  </si>
  <si>
    <r>
      <rPr>
        <b val="1"/>
        <sz val="10"/>
        <color indexed="8"/>
        <rFont val="Aptos Narrow"/>
      </rPr>
      <t>14 - Terça</t>
    </r>
  </si>
  <si>
    <r>
      <rPr>
        <b val="1"/>
        <sz val="10"/>
        <color indexed="8"/>
        <rFont val="Aptos Narrow"/>
      </rPr>
      <t>15 - Quarta</t>
    </r>
  </si>
  <si>
    <r>
      <rPr>
        <b val="1"/>
        <sz val="10"/>
        <color indexed="8"/>
        <rFont val="Aptos Narrow"/>
      </rPr>
      <t>16 - Quinta</t>
    </r>
  </si>
  <si>
    <r>
      <rPr>
        <b val="1"/>
        <sz val="10"/>
        <color indexed="8"/>
        <rFont val="Aptos Narrow"/>
      </rPr>
      <t>17 - Sexta</t>
    </r>
  </si>
  <si>
    <r>
      <rPr>
        <b val="1"/>
        <sz val="10"/>
        <color indexed="8"/>
        <rFont val="Aptos Narrow"/>
      </rPr>
      <t>18 - Sábado</t>
    </r>
  </si>
  <si>
    <r>
      <rPr>
        <b val="1"/>
        <sz val="10"/>
        <color indexed="8"/>
        <rFont val="Aptos Narrow"/>
      </rPr>
      <t>19 - Domingo</t>
    </r>
  </si>
  <si>
    <r>
      <rPr>
        <b val="1"/>
        <sz val="10"/>
        <color indexed="8"/>
        <rFont val="Aptos Narrow"/>
      </rPr>
      <t>20 - Segunda</t>
    </r>
  </si>
  <si>
    <r>
      <rPr>
        <b val="1"/>
        <sz val="10"/>
        <color indexed="8"/>
        <rFont val="Aptos Narrow"/>
      </rPr>
      <t>21 - Terça</t>
    </r>
  </si>
  <si>
    <r>
      <rPr>
        <b val="1"/>
        <sz val="10"/>
        <color indexed="8"/>
        <rFont val="Aptos Narrow"/>
      </rPr>
      <t>22 - Quarta</t>
    </r>
  </si>
  <si>
    <r>
      <rPr>
        <b val="1"/>
        <sz val="10"/>
        <color indexed="8"/>
        <rFont val="Aptos Narrow"/>
      </rPr>
      <t>23 - Quinta</t>
    </r>
  </si>
  <si>
    <r>
      <rPr>
        <b val="1"/>
        <sz val="10"/>
        <color indexed="8"/>
        <rFont val="Aptos Narrow"/>
      </rPr>
      <t>24 - Sexta</t>
    </r>
  </si>
  <si>
    <r>
      <rPr>
        <b val="1"/>
        <sz val="10"/>
        <color indexed="8"/>
        <rFont val="Aptos Narrow"/>
      </rPr>
      <t>25 - Sábado</t>
    </r>
  </si>
  <si>
    <r>
      <rPr>
        <b val="1"/>
        <sz val="10"/>
        <color indexed="8"/>
        <rFont val="Aptos Narrow"/>
      </rPr>
      <t>26 - Domingo</t>
    </r>
  </si>
  <si>
    <r>
      <rPr>
        <b val="1"/>
        <sz val="10"/>
        <color indexed="8"/>
        <rFont val="Aptos Narrow"/>
      </rPr>
      <t>27 - Segunda</t>
    </r>
  </si>
  <si>
    <r>
      <rPr>
        <b val="1"/>
        <sz val="10"/>
        <color indexed="8"/>
        <rFont val="Aptos Narrow"/>
      </rPr>
      <t>28 - Terça</t>
    </r>
  </si>
  <si>
    <r>
      <rPr>
        <b val="1"/>
        <sz val="10"/>
        <color indexed="8"/>
        <rFont val="Aptos Narrow"/>
      </rPr>
      <t>29 - Quarta</t>
    </r>
  </si>
  <si>
    <r>
      <rPr>
        <b val="1"/>
        <sz val="10"/>
        <color indexed="8"/>
        <rFont val="Aptos Narrow"/>
      </rPr>
      <t>30 - Quinta</t>
    </r>
  </si>
  <si>
    <t>Responsável</t>
  </si>
  <si>
    <t>Recalibrada</t>
  </si>
  <si>
    <t>Atingido</t>
  </si>
  <si>
    <t>Arthur</t>
  </si>
  <si>
    <r>
      <rPr>
        <sz val="10"/>
        <color indexed="8"/>
        <rFont val="Aptos Narrow"/>
      </rPr>
      <t>Rio Mar Restaurante</t>
    </r>
  </si>
  <si>
    <t>Cleverton</t>
  </si>
  <si>
    <r>
      <rPr>
        <sz val="10"/>
        <color indexed="8"/>
        <rFont val="Aptos Narrow"/>
      </rPr>
      <t>Rio Mar Mercado</t>
    </r>
  </si>
  <si>
    <t>Gleibson</t>
  </si>
  <si>
    <t>Aline</t>
  </si>
  <si>
    <t>Duda</t>
  </si>
  <si>
    <t>Total Meta</t>
  </si>
  <si>
    <t>2. PEDIDOS</t>
  </si>
  <si>
    <r>
      <rPr>
        <sz val="10"/>
        <color indexed="8"/>
        <rFont val="Aptos Narrow"/>
      </rPr>
      <t>Paiva</t>
    </r>
  </si>
  <si>
    <r>
      <rPr>
        <b val="1"/>
        <sz val="12"/>
        <color indexed="12"/>
        <rFont val="Aptos Narrow"/>
      </rPr>
      <t>Meta</t>
    </r>
  </si>
  <si>
    <r>
      <rPr>
        <b val="1"/>
        <sz val="12"/>
        <color indexed="12"/>
        <rFont val="Aptos Narrow"/>
      </rPr>
      <t>Recalibrada</t>
    </r>
  </si>
  <si>
    <r>
      <rPr>
        <b val="1"/>
        <sz val="12"/>
        <color indexed="12"/>
        <rFont val="Aptos Narrow"/>
      </rPr>
      <t>Atingido</t>
    </r>
  </si>
  <si>
    <r>
      <rPr>
        <sz val="10"/>
        <color indexed="8"/>
        <rFont val="Aptos Narrow"/>
      </rPr>
      <t>Delivery</t>
    </r>
  </si>
  <si>
    <t>Média</t>
  </si>
  <si>
    <t>3. TICKET MÉDIO</t>
  </si>
  <si>
    <t>Gráfico</t>
  </si>
  <si>
    <r>
      <rPr>
        <sz val="10"/>
        <color indexed="8"/>
        <rFont val="Aptos Narrow"/>
      </rPr>
      <t>Cabanga</t>
    </r>
  </si>
  <si>
    <r>
      <rPr>
        <sz val="10"/>
        <color indexed="8"/>
        <rFont val="Aptos Narrow"/>
      </rPr>
      <t>Velocity</t>
    </r>
  </si>
  <si>
    <r>
      <rPr>
        <sz val="10"/>
        <color indexed="8"/>
        <rFont val="Aptos Narrow"/>
      </rPr>
      <t>Lagoa Azul</t>
    </r>
  </si>
  <si>
    <r>
      <rPr>
        <sz val="10"/>
        <color indexed="8"/>
        <rFont val="Aptos Narrow"/>
      </rPr>
      <t>Maison</t>
    </r>
  </si>
  <si>
    <t>Sábado</t>
  </si>
  <si>
    <t>Ticket Médio</t>
  </si>
  <si>
    <t>COZINHA CENTRAL</t>
  </si>
  <si>
    <t>CABANGA</t>
  </si>
  <si>
    <t>DRE Report</t>
  </si>
  <si>
    <t>VIABILIDADE</t>
  </si>
  <si>
    <t>REAL</t>
  </si>
  <si>
    <t>PROJ</t>
  </si>
  <si>
    <t>Números de Operações</t>
  </si>
  <si>
    <t>Receita Bruta</t>
  </si>
  <si>
    <t>Cozinha Central / Delivery</t>
  </si>
  <si>
    <t>(-) Deduções da Receita</t>
  </si>
  <si>
    <t>Receita Líquida</t>
  </si>
  <si>
    <t>(-) CMV</t>
  </si>
  <si>
    <t>CMV %</t>
  </si>
  <si>
    <t>Lucro Bruto</t>
  </si>
  <si>
    <t>(-) Despesas Operacionais</t>
  </si>
  <si>
    <t>Despesas com Pessoal</t>
  </si>
  <si>
    <t>Despesas Gerais</t>
  </si>
  <si>
    <t>Aluguel Condomínio</t>
  </si>
  <si>
    <t>Serviços de Limpesa Tercerizados</t>
  </si>
  <si>
    <t>Prestadores de Serviço Gerais</t>
  </si>
  <si>
    <t>Marketing</t>
  </si>
  <si>
    <t>Taxa Máquina Cartão</t>
  </si>
  <si>
    <t>Taxa Ifood</t>
  </si>
  <si>
    <t>Embalagens e acessórios</t>
  </si>
  <si>
    <t>Carreto e Fretes</t>
  </si>
  <si>
    <t>Telefonia</t>
  </si>
  <si>
    <t>Manutenção</t>
  </si>
  <si>
    <t>Material para uso e consumo</t>
  </si>
  <si>
    <t>Contabilidade</t>
  </si>
  <si>
    <t>Sistema</t>
  </si>
  <si>
    <t>Energia</t>
  </si>
  <si>
    <t>Transporte e condução</t>
  </si>
  <si>
    <t>Outros</t>
  </si>
  <si>
    <t>(-) Depreciação e Amortização</t>
  </si>
  <si>
    <t>EBITDA</t>
  </si>
  <si>
    <t>Mg EBITDA</t>
  </si>
  <si>
    <t>(-) Resultado Financeiro</t>
  </si>
  <si>
    <t>Despesas Financeiras</t>
  </si>
  <si>
    <t>Receita Financeira</t>
  </si>
  <si>
    <t>LAIR</t>
  </si>
  <si>
    <t xml:space="preserve"> (-) CSLL / IRPJ</t>
  </si>
  <si>
    <t>Lucro Líquido</t>
  </si>
  <si>
    <t>CME</t>
  </si>
  <si>
    <t>CMV</t>
  </si>
  <si>
    <t>Comparativo</t>
  </si>
  <si>
    <t>Rateio  / Receita</t>
  </si>
  <si>
    <t xml:space="preserve">Rio Mar </t>
  </si>
  <si>
    <t>Lagoa</t>
  </si>
  <si>
    <t>Consolidado</t>
  </si>
  <si>
    <t>(-) CMV / CPV</t>
  </si>
  <si>
    <t>Total Despesas Gerais</t>
  </si>
  <si>
    <t>Total Head Count</t>
  </si>
  <si>
    <t>References</t>
  </si>
  <si>
    <t>x</t>
  </si>
  <si>
    <t>Weekdays</t>
  </si>
  <si>
    <t>Eng</t>
  </si>
  <si>
    <t>Port</t>
  </si>
  <si>
    <t>Cor</t>
  </si>
  <si>
    <t>Referencia</t>
  </si>
  <si>
    <t>S</t>
  </si>
  <si>
    <t>Azul</t>
  </si>
  <si>
    <t>.</t>
  </si>
  <si>
    <t>M</t>
  </si>
  <si>
    <t>Amarelo</t>
  </si>
  <si>
    <t>..</t>
  </si>
  <si>
    <t>T</t>
  </si>
  <si>
    <t>Laranja</t>
  </si>
  <si>
    <t>...</t>
  </si>
  <si>
    <t>W</t>
  </si>
  <si>
    <t>Vermelho</t>
  </si>
  <si>
    <t>....</t>
  </si>
  <si>
    <t>F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</si>
</sst>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mmm&quot;-&quot;yy"/>
    <numFmt numFmtId="60" formatCode="0%&quot; do total&quot;"/>
    <numFmt numFmtId="61" formatCode="&quot; &quot;* #,##0.00&quot; &quot;;&quot;-&quot;* #,##0.00&quot; &quot;;&quot; &quot;* &quot;-&quot;??&quot; &quot;"/>
    <numFmt numFmtId="62" formatCode="&quot; &quot;?.#&quot;dias&quot;"/>
    <numFmt numFmtId="63" formatCode="dd/mm/yy"/>
    <numFmt numFmtId="64" formatCode="&quot; &quot;* #,##0&quot; &quot;;&quot; &quot;* (#,##0);&quot; &quot;* &quot;-&quot;??&quot; &quot;"/>
    <numFmt numFmtId="65" formatCode="&quot; R$ &quot;* #,##0.00&quot; &quot;;&quot;-R$ &quot;* #,##0.00&quot; &quot;;&quot; R$ &quot;* &quot;-&quot;??&quot; &quot;"/>
  </numFmts>
  <fonts count="61">
    <font>
      <sz val="11"/>
      <color indexed="8"/>
      <name val="Aptos Narrow"/>
    </font>
    <font>
      <sz val="12"/>
      <color indexed="8"/>
      <name val="Aptos Narrow"/>
    </font>
    <font>
      <sz val="14"/>
      <color indexed="8"/>
      <name val="Aptos Narrow"/>
    </font>
    <font>
      <sz val="12"/>
      <color indexed="8"/>
      <name val="Helvetica Neue"/>
    </font>
    <font>
      <u val="single"/>
      <sz val="12"/>
      <color indexed="11"/>
      <name val="Aptos Narrow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  <font>
      <sz val="10"/>
      <color indexed="14"/>
      <name val="Arial"/>
    </font>
    <font>
      <b val="1"/>
      <sz val="10"/>
      <color indexed="12"/>
      <name val="Arial"/>
    </font>
    <font>
      <b val="1"/>
      <u val="single"/>
      <sz val="10"/>
      <color indexed="8"/>
      <name val="Arial"/>
    </font>
    <font>
      <b val="1"/>
      <sz val="10"/>
      <color indexed="18"/>
      <name val="Arial"/>
    </font>
    <font>
      <b val="1"/>
      <sz val="10"/>
      <color indexed="17"/>
      <name val="Arial"/>
    </font>
    <font>
      <sz val="10"/>
      <color indexed="18"/>
      <name val="Arial"/>
    </font>
    <font>
      <i val="1"/>
      <sz val="10"/>
      <color indexed="8"/>
      <name val="Arial"/>
    </font>
    <font>
      <b val="1"/>
      <i val="1"/>
      <sz val="10"/>
      <color indexed="8"/>
      <name val="Arial"/>
    </font>
    <font>
      <b val="1"/>
      <i val="1"/>
      <sz val="10"/>
      <color indexed="12"/>
      <name val="Arial"/>
    </font>
    <font>
      <b val="1"/>
      <sz val="14"/>
      <color indexed="12"/>
      <name val="Aptos Narrow"/>
    </font>
    <font>
      <sz val="10"/>
      <color indexed="11"/>
      <name val="Arial"/>
    </font>
    <font>
      <sz val="10"/>
      <color indexed="23"/>
      <name val="Arial"/>
    </font>
    <font>
      <b val="1"/>
      <sz val="9"/>
      <color indexed="24"/>
      <name val="Aptos Narrow"/>
    </font>
    <font>
      <sz val="9"/>
      <color indexed="25"/>
      <name val="Aptos Narrow"/>
    </font>
    <font>
      <sz val="10"/>
      <color indexed="8"/>
      <name val="Aptos Narrow"/>
    </font>
    <font>
      <b val="1"/>
      <sz val="10"/>
      <color indexed="24"/>
      <name val="Aptos Narrow"/>
    </font>
    <font>
      <sz val="9"/>
      <color indexed="24"/>
      <name val="Aptos Narrow"/>
    </font>
    <font>
      <sz val="14"/>
      <color indexed="25"/>
      <name val="Aptos Narrow"/>
    </font>
    <font>
      <b val="1"/>
      <sz val="10"/>
      <color indexed="8"/>
      <name val="Aptos Narrow"/>
    </font>
    <font>
      <sz val="10"/>
      <color indexed="8"/>
      <name val="Aptos Narrow"/>
    </font>
    <font>
      <sz val="10"/>
      <color indexed="14"/>
      <name val="Aptos Narrow"/>
    </font>
    <font>
      <b val="1"/>
      <sz val="10"/>
      <color indexed="12"/>
      <name val="Aptos Narrow"/>
    </font>
    <font>
      <sz val="10"/>
      <color indexed="12"/>
      <name val="Aptos Narrow"/>
    </font>
    <font>
      <b val="1"/>
      <sz val="12"/>
      <color indexed="8"/>
      <name val="Aptos Narrow"/>
    </font>
    <font>
      <sz val="10"/>
      <color indexed="11"/>
      <name val="Aptos Narrow"/>
    </font>
    <font>
      <b val="1"/>
      <u val="single"/>
      <sz val="10"/>
      <color indexed="8"/>
      <name val="Aptos Narrow"/>
    </font>
    <font>
      <b val="1"/>
      <sz val="12"/>
      <color indexed="12"/>
      <name val="Aptos Narrow"/>
    </font>
    <font>
      <b val="1"/>
      <sz val="10"/>
      <color indexed="17"/>
      <name val="Aptos Narrow"/>
    </font>
    <font>
      <b val="1"/>
      <sz val="12"/>
      <color indexed="17"/>
      <name val="Aptos Narrow"/>
    </font>
    <font>
      <b val="1"/>
      <sz val="14"/>
      <color indexed="8"/>
      <name val="Aptos Narrow"/>
    </font>
    <font>
      <sz val="14"/>
      <color indexed="11"/>
      <name val="Aptos Narrow"/>
    </font>
    <font>
      <sz val="14"/>
      <color indexed="18"/>
      <name val="Aptos Narrow"/>
    </font>
    <font>
      <sz val="14"/>
      <color indexed="26"/>
      <name val="Aptos Narrow"/>
    </font>
    <font>
      <sz val="14"/>
      <color indexed="27"/>
      <name val="Aptos Narrow"/>
    </font>
    <font>
      <sz val="10"/>
      <color indexed="18"/>
      <name val="Aptos Narrow"/>
    </font>
    <font>
      <b val="1"/>
      <sz val="14"/>
      <color indexed="18"/>
      <name val="Aptos Narrow"/>
    </font>
    <font>
      <i val="1"/>
      <sz val="10"/>
      <color indexed="8"/>
      <name val="Aptos Narrow"/>
    </font>
    <font>
      <sz val="14"/>
      <color indexed="23"/>
      <name val="Aptos Narrow"/>
    </font>
    <font>
      <b val="1"/>
      <sz val="14"/>
      <color indexed="17"/>
      <name val="Aptos Narrow"/>
    </font>
    <font>
      <b val="1"/>
      <sz val="12"/>
      <color indexed="24"/>
      <name val="Aptos Narrow"/>
    </font>
    <font>
      <sz val="6"/>
      <color indexed="25"/>
      <name val="Aptos Narrow"/>
    </font>
    <font>
      <b val="1"/>
      <sz val="11"/>
      <color indexed="17"/>
      <name val="Aptos Narrow"/>
    </font>
    <font>
      <b val="1"/>
      <sz val="11"/>
      <color indexed="8"/>
      <name val="Aptos Narrow"/>
    </font>
    <font>
      <i val="1"/>
      <sz val="11"/>
      <color indexed="8"/>
      <name val="Aptos Narrow"/>
    </font>
    <font>
      <b val="1"/>
      <u val="single"/>
      <sz val="10"/>
      <color indexed="17"/>
      <name val="Arial"/>
    </font>
    <font>
      <u val="single"/>
      <sz val="10"/>
      <color indexed="8"/>
      <name val="Arial"/>
    </font>
    <font>
      <i val="1"/>
      <sz val="10"/>
      <color indexed="8"/>
      <name val="Arial"/>
    </font>
    <font>
      <b val="1"/>
      <i val="1"/>
      <sz val="10"/>
      <color indexed="8"/>
      <name val="Arial"/>
    </font>
    <font>
      <sz val="20"/>
      <color indexed="8"/>
      <name val="Arial"/>
    </font>
    <font>
      <b val="1"/>
      <sz val="8"/>
      <color indexed="8"/>
      <name val="Arial"/>
    </font>
    <font>
      <b val="1"/>
      <sz val="8"/>
      <color indexed="18"/>
      <name val="Arial"/>
    </font>
    <font>
      <b val="1"/>
      <sz val="8"/>
      <color indexed="12"/>
      <name val="Arial"/>
    </font>
    <font>
      <sz val="8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</fills>
  <borders count="119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/>
      <top/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12"/>
      </right>
      <top/>
      <bottom style="thin">
        <color indexed="8"/>
      </bottom>
      <diagonal/>
    </border>
    <border>
      <left style="medium">
        <color indexed="12"/>
      </left>
      <right style="medium">
        <color indexed="12"/>
      </right>
      <top/>
      <bottom style="thin">
        <color indexed="8"/>
      </bottom>
      <diagonal/>
    </border>
    <border>
      <left style="medium">
        <color indexed="12"/>
      </left>
      <right/>
      <top/>
      <bottom style="thin">
        <color indexed="8"/>
      </bottom>
      <diagonal/>
    </border>
    <border>
      <left style="medium">
        <color indexed="12"/>
      </left>
      <right/>
      <top/>
      <bottom style="thin">
        <color indexed="17"/>
      </bottom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8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12"/>
      </right>
      <top style="thin">
        <color indexed="8"/>
      </top>
      <bottom style="medium">
        <color indexed="8"/>
      </bottom>
      <diagonal/>
    </border>
    <border>
      <left style="medium">
        <color indexed="12"/>
      </left>
      <right style="medium">
        <color indexed="12"/>
      </right>
      <top style="thin">
        <color indexed="8"/>
      </top>
      <bottom style="medium">
        <color indexed="8"/>
      </bottom>
      <diagonal/>
    </border>
    <border>
      <left style="medium">
        <color indexed="12"/>
      </left>
      <right/>
      <top style="thin">
        <color indexed="8"/>
      </top>
      <bottom style="medium">
        <color indexed="8"/>
      </bottom>
      <diagonal/>
    </border>
    <border>
      <left style="medium">
        <color indexed="12"/>
      </left>
      <right/>
      <top style="thin">
        <color indexed="17"/>
      </top>
      <bottom style="medium">
        <color indexed="8"/>
      </bottom>
      <diagonal/>
    </border>
    <border>
      <left style="medium">
        <color indexed="12"/>
      </left>
      <right/>
      <top/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12"/>
      </right>
      <top style="medium">
        <color indexed="8"/>
      </top>
      <bottom/>
      <diagonal/>
    </border>
    <border>
      <left style="medium">
        <color indexed="12"/>
      </left>
      <right style="medium">
        <color indexed="12"/>
      </right>
      <top style="medium">
        <color indexed="8"/>
      </top>
      <bottom/>
      <diagonal/>
    </border>
    <border>
      <left style="medium">
        <color indexed="12"/>
      </left>
      <right/>
      <top style="medium">
        <color indexed="8"/>
      </top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/>
      <right/>
      <top/>
      <bottom style="hair">
        <color indexed="14"/>
      </bottom>
      <diagonal/>
    </border>
    <border>
      <left style="medium">
        <color indexed="12"/>
      </left>
      <right style="medium">
        <color indexed="12"/>
      </right>
      <top/>
      <bottom style="hair">
        <color indexed="14"/>
      </bottom>
      <diagonal/>
    </border>
    <border>
      <left style="medium">
        <color indexed="12"/>
      </left>
      <right/>
      <top/>
      <bottom style="hair">
        <color indexed="1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/>
      <top style="hair">
        <color indexed="14"/>
      </top>
      <bottom style="hair">
        <color indexed="14"/>
      </bottom>
      <diagonal/>
    </border>
    <border>
      <left style="medium">
        <color indexed="12"/>
      </left>
      <right style="medium">
        <color indexed="12"/>
      </right>
      <top style="hair">
        <color indexed="14"/>
      </top>
      <bottom/>
      <diagonal/>
    </border>
    <border>
      <left/>
      <right/>
      <top style="hair">
        <color indexed="14"/>
      </top>
      <bottom/>
      <diagonal/>
    </border>
    <border>
      <left/>
      <right/>
      <top style="thin">
        <color indexed="17"/>
      </top>
      <bottom/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thin">
        <color indexed="17"/>
      </bottom>
      <diagonal/>
    </border>
    <border>
      <left style="medium">
        <color indexed="17"/>
      </left>
      <right style="medium">
        <color indexed="17"/>
      </right>
      <top/>
      <bottom style="thin">
        <color indexed="17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thin">
        <color indexed="17"/>
      </bottom>
      <diagonal/>
    </border>
    <border>
      <left style="medium">
        <color indexed="17"/>
      </left>
      <right/>
      <top style="thin">
        <color indexed="17"/>
      </top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/>
      <diagonal/>
    </border>
    <border>
      <left style="medium">
        <color indexed="17"/>
      </left>
      <right style="medium">
        <color indexed="17"/>
      </right>
      <top style="thin">
        <color indexed="17"/>
      </top>
      <bottom/>
      <diagonal/>
    </border>
    <border>
      <left style="medium">
        <color indexed="17"/>
      </left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medium">
        <color indexed="17"/>
      </left>
      <right/>
      <top style="thin">
        <color indexed="17"/>
      </top>
      <bottom/>
      <diagonal/>
    </border>
    <border>
      <left/>
      <right/>
      <top style="medium">
        <color indexed="17"/>
      </top>
      <bottom style="medium">
        <color indexed="17"/>
      </bottom>
      <diagonal/>
    </border>
    <border>
      <left style="medium">
        <color indexed="17"/>
      </left>
      <right/>
      <top/>
      <bottom style="thin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/>
      <bottom style="thick">
        <color indexed="17"/>
      </bottom>
      <diagonal/>
    </border>
    <border>
      <left style="medium">
        <color indexed="17"/>
      </left>
      <right style="medium">
        <color indexed="17"/>
      </right>
      <top/>
      <bottom style="thick">
        <color indexed="17"/>
      </bottom>
      <diagonal/>
    </border>
    <border>
      <left style="medium">
        <color indexed="17"/>
      </left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/>
      <top/>
      <bottom style="medium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 style="thick">
        <color indexed="17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/>
      <right style="thin">
        <color indexed="12"/>
      </right>
      <top/>
      <bottom style="thin">
        <color indexed="17"/>
      </bottom>
      <diagonal/>
    </border>
    <border>
      <left style="thin">
        <color indexed="13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/>
      <right style="thin">
        <color indexed="17"/>
      </right>
      <top/>
      <bottom style="thin">
        <color indexed="8"/>
      </bottom>
      <diagonal/>
    </border>
    <border>
      <left style="thin">
        <color indexed="17"/>
      </left>
      <right style="thin">
        <color indexed="17"/>
      </right>
      <top/>
      <bottom style="thin">
        <color indexed="8"/>
      </bottom>
      <diagonal/>
    </border>
    <border>
      <left style="medium">
        <color indexed="12"/>
      </left>
      <right style="thin">
        <color indexed="17"/>
      </right>
      <top style="thin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8"/>
      </top>
      <bottom style="medium">
        <color indexed="8"/>
      </bottom>
      <diagonal/>
    </border>
    <border>
      <left style="thin">
        <color indexed="17"/>
      </left>
      <right style="medium">
        <color indexed="12"/>
      </right>
      <top style="thin">
        <color indexed="8"/>
      </top>
      <bottom style="medium">
        <color indexed="8"/>
      </bottom>
      <diagonal/>
    </border>
    <border>
      <left/>
      <right style="thin">
        <color indexed="17"/>
      </right>
      <top style="medium">
        <color indexed="8"/>
      </top>
      <bottom/>
      <diagonal/>
    </border>
    <border>
      <left style="thin">
        <color indexed="17"/>
      </left>
      <right style="thin">
        <color indexed="17"/>
      </right>
      <top style="medium">
        <color indexed="8"/>
      </top>
      <bottom/>
      <diagonal/>
    </border>
    <border>
      <left style="thin">
        <color indexed="17"/>
      </left>
      <right style="thin">
        <color indexed="17"/>
      </right>
      <top style="medium">
        <color indexed="8"/>
      </top>
      <bottom style="thin">
        <color indexed="17"/>
      </bottom>
      <diagonal/>
    </border>
    <border>
      <left style="thin">
        <color indexed="17"/>
      </left>
      <right/>
      <top style="medium">
        <color indexed="8"/>
      </top>
      <bottom/>
      <diagonal/>
    </border>
    <border>
      <left style="thin">
        <color indexed="17"/>
      </left>
      <right/>
      <top/>
      <bottom style="thin">
        <color indexed="8"/>
      </bottom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medium">
        <color indexed="17"/>
      </right>
      <top/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 style="thick">
        <color indexed="12"/>
      </right>
      <top/>
      <bottom/>
      <diagonal/>
    </border>
    <border>
      <left style="thick">
        <color indexed="12"/>
      </left>
      <right style="medium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/>
      <right style="thin">
        <color indexed="17"/>
      </right>
      <top/>
      <bottom style="medium">
        <color indexed="17"/>
      </bottom>
      <diagonal/>
    </border>
    <border>
      <left/>
      <right style="thin">
        <color indexed="13"/>
      </right>
      <top/>
      <bottom style="medium">
        <color indexed="17"/>
      </bottom>
      <diagonal/>
    </border>
    <border>
      <left/>
      <right style="medium">
        <color indexed="17"/>
      </right>
      <top/>
      <bottom style="thin">
        <color indexed="8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thin">
        <color indexed="8"/>
      </bottom>
      <diagonal/>
    </border>
    <border>
      <left/>
      <right style="medium">
        <color indexed="17"/>
      </right>
      <top style="medium">
        <color indexed="17"/>
      </top>
      <bottom style="thin">
        <color indexed="8"/>
      </bottom>
      <diagonal/>
    </border>
    <border>
      <left style="medium">
        <color indexed="17"/>
      </left>
      <right/>
      <top style="medium">
        <color indexed="17"/>
      </top>
      <bottom style="thin">
        <color indexed="8"/>
      </bottom>
      <diagonal/>
    </border>
    <border>
      <left/>
      <right style="medium">
        <color indexed="17"/>
      </right>
      <top style="thin">
        <color indexed="8"/>
      </top>
      <bottom style="medium">
        <color indexed="8"/>
      </bottom>
      <diagonal/>
    </border>
    <border>
      <left style="medium">
        <color indexed="17"/>
      </left>
      <right style="medium">
        <color indexed="17"/>
      </right>
      <top style="thin">
        <color indexed="8"/>
      </top>
      <bottom style="medium">
        <color indexed="8"/>
      </bottom>
      <diagonal/>
    </border>
    <border>
      <left style="medium">
        <color indexed="17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17"/>
      </right>
      <top style="medium">
        <color indexed="8"/>
      </top>
      <bottom/>
      <diagonal/>
    </border>
    <border>
      <left style="medium">
        <color indexed="17"/>
      </left>
      <right style="medium">
        <color indexed="17"/>
      </right>
      <top style="medium">
        <color indexed="8"/>
      </top>
      <bottom/>
      <diagonal/>
    </border>
    <border>
      <left style="medium">
        <color indexed="17"/>
      </left>
      <right style="medium">
        <color indexed="17"/>
      </right>
      <top/>
      <bottom style="thin">
        <color indexed="8"/>
      </bottom>
      <diagonal/>
    </border>
    <border>
      <left style="medium">
        <color indexed="17"/>
      </left>
      <right/>
      <top/>
      <bottom style="thin">
        <color indexed="8"/>
      </bottom>
      <diagonal/>
    </border>
    <border>
      <left style="medium">
        <color indexed="17"/>
      </left>
      <right style="thin">
        <color indexed="17"/>
      </right>
      <top/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medium">
        <color indexed="17"/>
      </right>
      <top style="medium">
        <color indexed="17"/>
      </top>
      <bottom/>
      <diagonal/>
    </border>
    <border>
      <left/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medium">
        <color indexed="17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17"/>
      </right>
      <top style="medium">
        <color indexed="8"/>
      </top>
      <bottom style="thin">
        <color indexed="8"/>
      </bottom>
      <diagonal/>
    </border>
    <border>
      <left style="medium">
        <color indexed="17"/>
      </left>
      <right/>
      <top style="medium">
        <color indexed="8"/>
      </top>
      <bottom style="thin">
        <color indexed="8"/>
      </bottom>
      <diagonal/>
    </border>
    <border>
      <left style="medium">
        <color indexed="17"/>
      </left>
      <right style="medium">
        <color indexed="17"/>
      </right>
      <top style="medium">
        <color indexed="8"/>
      </top>
      <bottom style="thin">
        <color indexed="8"/>
      </bottom>
      <diagonal/>
    </border>
    <border>
      <left/>
      <right style="thin">
        <color indexed="13"/>
      </right>
      <top style="medium">
        <color indexed="8"/>
      </top>
      <bottom/>
      <diagonal/>
    </border>
    <border>
      <left/>
      <right style="medium">
        <color indexed="17"/>
      </right>
      <top/>
      <bottom style="thin">
        <color indexed="13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/>
      <top/>
      <bottom style="thin">
        <color indexed="13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6" fillId="4" borderId="2" applyNumberFormat="0" applyFont="1" applyFill="1" applyBorder="1" applyAlignment="1" applyProtection="0">
      <alignment horizontal="center" vertical="bottom"/>
    </xf>
    <xf numFmtId="0" fontId="7" fillId="4" borderId="2" applyNumberFormat="0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6" fillId="4" borderId="5" applyNumberFormat="0" applyFont="1" applyFill="1" applyBorder="1" applyAlignment="1" applyProtection="0">
      <alignment horizontal="center" vertical="bottom"/>
    </xf>
    <xf numFmtId="0" fontId="7" fillId="4" borderId="5" applyNumberFormat="0" applyFont="1" applyFill="1" applyBorder="1" applyAlignment="1" applyProtection="0">
      <alignment horizontal="center" vertical="bottom"/>
    </xf>
    <xf numFmtId="0" fontId="8" fillId="4" borderId="5" applyNumberFormat="1" applyFont="1" applyFill="1" applyBorder="1" applyAlignment="1" applyProtection="0">
      <alignment horizontal="center" vertical="bottom"/>
    </xf>
    <xf numFmtId="0" fontId="0" fillId="4" borderId="6" applyNumberFormat="0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49" fontId="9" fillId="5" borderId="8" applyNumberFormat="1" applyFont="1" applyFill="1" applyBorder="1" applyAlignment="1" applyProtection="0">
      <alignment horizontal="left" vertical="center"/>
    </xf>
    <xf numFmtId="0" fontId="9" fillId="5" borderId="5" applyNumberFormat="0" applyFont="1" applyFill="1" applyBorder="1" applyAlignment="1" applyProtection="0">
      <alignment horizontal="left" vertical="center"/>
    </xf>
    <xf numFmtId="0" fontId="9" fillId="4" borderId="5" applyNumberFormat="0" applyFont="1" applyFill="1" applyBorder="1" applyAlignment="1" applyProtection="0">
      <alignment horizontal="left" vertical="center"/>
    </xf>
    <xf numFmtId="0" fontId="9" fillId="4" borderId="9" applyNumberFormat="0" applyFont="1" applyFill="1" applyBorder="1" applyAlignment="1" applyProtection="0">
      <alignment horizontal="left" vertical="center"/>
    </xf>
    <xf numFmtId="0" fontId="6" fillId="4" borderId="5" applyNumberFormat="0" applyFont="1" applyFill="1" applyBorder="1" applyAlignment="1" applyProtection="0">
      <alignment horizontal="left" vertical="center"/>
    </xf>
    <xf numFmtId="49" fontId="6" fillId="6" borderId="5" applyNumberFormat="1" applyFont="1" applyFill="1" applyBorder="1" applyAlignment="1" applyProtection="0">
      <alignment horizontal="center" vertical="center"/>
    </xf>
    <xf numFmtId="0" fontId="6" fillId="6" borderId="5" applyNumberFormat="0" applyFont="1" applyFill="1" applyBorder="1" applyAlignment="1" applyProtection="0">
      <alignment horizontal="center" vertical="center"/>
    </xf>
    <xf numFmtId="49" fontId="6" fillId="6" borderId="10" applyNumberFormat="1" applyFont="1" applyFill="1" applyBorder="1" applyAlignment="1" applyProtection="0">
      <alignment horizontal="center" vertical="center"/>
    </xf>
    <xf numFmtId="0" fontId="6" fillId="6" borderId="10" applyNumberFormat="0" applyFont="1" applyFill="1" applyBorder="1" applyAlignment="1" applyProtection="0">
      <alignment horizontal="center" vertical="center"/>
    </xf>
    <xf numFmtId="3" fontId="6" fillId="6" borderId="5" applyNumberFormat="1" applyFont="1" applyFill="1" applyBorder="1" applyAlignment="1" applyProtection="0">
      <alignment horizontal="center" vertical="bottom" wrapText="1"/>
    </xf>
    <xf numFmtId="3" fontId="6" fillId="4" borderId="5" applyNumberFormat="1" applyFont="1" applyFill="1" applyBorder="1" applyAlignment="1" applyProtection="0">
      <alignment horizontal="center" vertical="bottom" wrapText="1"/>
    </xf>
    <xf numFmtId="0" fontId="6" fillId="4" borderId="5" applyNumberFormat="0" applyFont="1" applyFill="1" applyBorder="1" applyAlignment="1" applyProtection="0">
      <alignment horizontal="center" vertical="center"/>
    </xf>
    <xf numFmtId="14" fontId="6" fillId="4" borderId="5" applyNumberFormat="1" applyFont="1" applyFill="1" applyBorder="1" applyAlignment="1" applyProtection="0">
      <alignment horizontal="center" vertical="center"/>
    </xf>
    <xf numFmtId="14" fontId="6" fillId="4" borderId="5" applyNumberFormat="1" applyFont="1" applyFill="1" applyBorder="1" applyAlignment="1" applyProtection="0">
      <alignment vertical="bottom"/>
    </xf>
    <xf numFmtId="49" fontId="10" fillId="4" borderId="5" applyNumberFormat="1" applyFont="1" applyFill="1" applyBorder="1" applyAlignment="1" applyProtection="0">
      <alignment horizontal="center" vertical="bottom" wrapText="1"/>
    </xf>
    <xf numFmtId="49" fontId="10" fillId="4" borderId="5" applyNumberFormat="1" applyFont="1" applyFill="1" applyBorder="1" applyAlignment="1" applyProtection="0">
      <alignment horizontal="center" vertical="bottom"/>
    </xf>
    <xf numFmtId="49" fontId="10" fillId="4" borderId="5" applyNumberFormat="1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49" fontId="6" fillId="7" borderId="12" applyNumberFormat="1" applyFont="1" applyFill="1" applyBorder="1" applyAlignment="1" applyProtection="0">
      <alignment horizontal="center" vertical="center" wrapText="1"/>
    </xf>
    <xf numFmtId="49" fontId="6" fillId="7" borderId="13" applyNumberFormat="1" applyFont="1" applyFill="1" applyBorder="1" applyAlignment="1" applyProtection="0">
      <alignment horizontal="center" vertical="center" wrapText="1"/>
    </xf>
    <xf numFmtId="49" fontId="6" fillId="7" borderId="14" applyNumberFormat="1" applyFont="1" applyFill="1" applyBorder="1" applyAlignment="1" applyProtection="0">
      <alignment horizontal="center" vertical="center" wrapText="1"/>
    </xf>
    <xf numFmtId="49" fontId="6" fillId="4" borderId="15" applyNumberFormat="1" applyFont="1" applyFill="1" applyBorder="1" applyAlignment="1" applyProtection="0">
      <alignment horizontal="center" vertical="center" wrapText="1"/>
    </xf>
    <xf numFmtId="49" fontId="6" fillId="6" borderId="11" applyNumberFormat="1" applyFont="1" applyFill="1" applyBorder="1" applyAlignment="1" applyProtection="0">
      <alignment horizontal="center" vertical="bottom" wrapText="1"/>
    </xf>
    <xf numFmtId="3" fontId="6" fillId="4" borderId="16" applyNumberFormat="1" applyFont="1" applyFill="1" applyBorder="1" applyAlignment="1" applyProtection="0">
      <alignment horizontal="center" vertical="bottom" wrapText="1"/>
    </xf>
    <xf numFmtId="49" fontId="6" fillId="7" borderId="17" applyNumberFormat="1" applyFont="1" applyFill="1" applyBorder="1" applyAlignment="1" applyProtection="0">
      <alignment horizontal="center" vertical="center" wrapText="1"/>
    </xf>
    <xf numFmtId="49" fontId="6" fillId="7" borderId="11" applyNumberFormat="1" applyFont="1" applyFill="1" applyBorder="1" applyAlignment="1" applyProtection="0">
      <alignment horizontal="center" vertical="center" wrapText="1"/>
    </xf>
    <xf numFmtId="49" fontId="6" fillId="7" borderId="18" applyNumberFormat="1" applyFont="1" applyFill="1" applyBorder="1" applyAlignment="1" applyProtection="0">
      <alignment horizontal="center" vertical="center" wrapText="1"/>
    </xf>
    <xf numFmtId="3" fontId="6" fillId="4" borderId="8" applyNumberFormat="1" applyFont="1" applyFill="1" applyBorder="1" applyAlignment="1" applyProtection="0">
      <alignment horizontal="center" vertical="center" wrapText="1"/>
    </xf>
    <xf numFmtId="0" fontId="0" fillId="4" borderId="19" applyNumberFormat="0" applyFont="1" applyFill="1" applyBorder="1" applyAlignment="1" applyProtection="0">
      <alignment vertical="bottom"/>
    </xf>
    <xf numFmtId="3" fontId="7" fillId="4" borderId="5" applyNumberFormat="1" applyFont="1" applyFill="1" applyBorder="1" applyAlignment="1" applyProtection="0">
      <alignment horizontal="left" vertical="bottom"/>
    </xf>
    <xf numFmtId="49" fontId="6" fillId="4" borderId="20" applyNumberFormat="1" applyFont="1" applyFill="1" applyBorder="1" applyAlignment="1" applyProtection="0">
      <alignment horizontal="left" vertical="center"/>
    </xf>
    <xf numFmtId="3" fontId="6" fillId="4" borderId="21" applyNumberFormat="1" applyFont="1" applyFill="1" applyBorder="1" applyAlignment="1" applyProtection="0">
      <alignment horizontal="center" vertical="bottom"/>
    </xf>
    <xf numFmtId="3" fontId="6" fillId="4" borderId="22" applyNumberFormat="1" applyFont="1" applyFill="1" applyBorder="1" applyAlignment="1" applyProtection="0">
      <alignment horizontal="center" vertical="bottom"/>
    </xf>
    <xf numFmtId="3" fontId="11" fillId="4" borderId="23" applyNumberFormat="1" applyFont="1" applyFill="1" applyBorder="1" applyAlignment="1" applyProtection="0">
      <alignment horizontal="center" vertical="bottom"/>
    </xf>
    <xf numFmtId="9" fontId="7" fillId="4" borderId="24" applyNumberFormat="1" applyFont="1" applyFill="1" applyBorder="1" applyAlignment="1" applyProtection="0">
      <alignment horizontal="center" vertical="bottom"/>
    </xf>
    <xf numFmtId="3" fontId="6" fillId="4" borderId="20" applyNumberFormat="1" applyFont="1" applyFill="1" applyBorder="1" applyAlignment="1" applyProtection="0">
      <alignment horizontal="center" vertical="center"/>
    </xf>
    <xf numFmtId="3" fontId="11" fillId="8" borderId="20" applyNumberFormat="1" applyFont="1" applyFill="1" applyBorder="1" applyAlignment="1" applyProtection="0">
      <alignment horizontal="center" vertical="bottom"/>
    </xf>
    <xf numFmtId="3" fontId="6" fillId="6" borderId="21" applyNumberFormat="1" applyFont="1" applyFill="1" applyBorder="1" applyAlignment="1" applyProtection="0">
      <alignment horizontal="center" vertical="bottom"/>
    </xf>
    <xf numFmtId="3" fontId="6" fillId="4" borderId="25" applyNumberFormat="1" applyFont="1" applyFill="1" applyBorder="1" applyAlignment="1" applyProtection="0">
      <alignment horizontal="center" vertical="bottom" wrapText="1"/>
    </xf>
    <xf numFmtId="1" fontId="7" fillId="4" borderId="20" applyNumberFormat="1" applyFont="1" applyFill="1" applyBorder="1" applyAlignment="1" applyProtection="0">
      <alignment horizontal="center" vertical="bottom"/>
    </xf>
    <xf numFmtId="3" fontId="7" fillId="9" borderId="26" applyNumberFormat="1" applyFont="1" applyFill="1" applyBorder="1" applyAlignment="1" applyProtection="0">
      <alignment horizontal="center" vertical="bottom"/>
    </xf>
    <xf numFmtId="3" fontId="7" fillId="4" borderId="27" applyNumberFormat="1" applyFont="1" applyFill="1" applyBorder="1" applyAlignment="1" applyProtection="0">
      <alignment horizontal="center" vertical="bottom"/>
    </xf>
    <xf numFmtId="0" fontId="12" fillId="10" borderId="28" applyNumberFormat="1" applyFont="1" applyFill="1" applyBorder="1" applyAlignment="1" applyProtection="0">
      <alignment horizontal="center" vertical="bottom"/>
    </xf>
    <xf numFmtId="49" fontId="6" fillId="4" borderId="29" applyNumberFormat="1" applyFont="1" applyFill="1" applyBorder="1" applyAlignment="1" applyProtection="0">
      <alignment horizontal="left" vertical="bottom"/>
    </xf>
    <xf numFmtId="3" fontId="6" fillId="4" borderId="5" applyNumberFormat="1" applyFont="1" applyFill="1" applyBorder="1" applyAlignment="1" applyProtection="0">
      <alignment horizontal="center" vertical="bottom"/>
    </xf>
    <xf numFmtId="49" fontId="7" fillId="4" borderId="30" applyNumberFormat="1" applyFont="1" applyFill="1" applyBorder="1" applyAlignment="1" applyProtection="0">
      <alignment horizontal="left" vertical="bottom"/>
    </xf>
    <xf numFmtId="3" fontId="7" fillId="4" borderId="30" applyNumberFormat="1" applyFont="1" applyFill="1" applyBorder="1" applyAlignment="1" applyProtection="0">
      <alignment horizontal="center" vertical="center"/>
    </xf>
    <xf numFmtId="3" fontId="7" fillId="4" borderId="31" applyNumberFormat="1" applyFont="1" applyFill="1" applyBorder="1" applyAlignment="1" applyProtection="0">
      <alignment horizontal="center" vertical="bottom"/>
    </xf>
    <xf numFmtId="3" fontId="7" fillId="4" borderId="32" applyNumberFormat="1" applyFont="1" applyFill="1" applyBorder="1" applyAlignment="1" applyProtection="0">
      <alignment horizontal="center" vertical="bottom"/>
    </xf>
    <xf numFmtId="3" fontId="13" fillId="4" borderId="33" applyNumberFormat="1" applyFont="1" applyFill="1" applyBorder="1" applyAlignment="1" applyProtection="0">
      <alignment horizontal="center" vertical="bottom"/>
    </xf>
    <xf numFmtId="3" fontId="7" fillId="4" borderId="30" applyNumberFormat="1" applyFont="1" applyFill="1" applyBorder="1" applyAlignment="1" applyProtection="0">
      <alignment horizontal="center" vertical="bottom"/>
    </xf>
    <xf numFmtId="9" fontId="7" fillId="4" borderId="30" applyNumberFormat="1" applyFont="1" applyFill="1" applyBorder="1" applyAlignment="1" applyProtection="0">
      <alignment horizontal="center" vertical="bottom"/>
    </xf>
    <xf numFmtId="3" fontId="6" fillId="4" borderId="30" applyNumberFormat="1" applyFont="1" applyFill="1" applyBorder="1" applyAlignment="1" applyProtection="0">
      <alignment horizontal="center" vertical="center"/>
    </xf>
    <xf numFmtId="3" fontId="7" fillId="4" borderId="33" applyNumberFormat="1" applyFont="1" applyFill="1" applyBorder="1" applyAlignment="1" applyProtection="0">
      <alignment horizontal="center" vertical="bottom"/>
    </xf>
    <xf numFmtId="3" fontId="13" fillId="8" borderId="30" applyNumberFormat="1" applyFont="1" applyFill="1" applyBorder="1" applyAlignment="1" applyProtection="0">
      <alignment horizontal="center" vertical="bottom"/>
    </xf>
    <xf numFmtId="3" fontId="7" fillId="6" borderId="30" applyNumberFormat="1" applyFont="1" applyFill="1" applyBorder="1" applyAlignment="1" applyProtection="0">
      <alignment horizontal="center" vertical="bottom"/>
    </xf>
    <xf numFmtId="1" fontId="7" fillId="4" borderId="30" applyNumberFormat="1" applyFont="1" applyFill="1" applyBorder="1" applyAlignment="1" applyProtection="0">
      <alignment horizontal="center" vertical="bottom"/>
    </xf>
    <xf numFmtId="3" fontId="7" fillId="9" borderId="5" applyNumberFormat="1" applyFont="1" applyFill="1" applyBorder="1" applyAlignment="1" applyProtection="0">
      <alignment horizontal="center" vertical="bottom"/>
    </xf>
    <xf numFmtId="49" fontId="7" fillId="4" borderId="29" applyNumberFormat="1" applyFont="1" applyFill="1" applyBorder="1" applyAlignment="1" applyProtection="0">
      <alignment horizontal="left" vertical="bottom"/>
    </xf>
    <xf numFmtId="3" fontId="7" fillId="4" borderId="5" applyNumberFormat="1" applyFont="1" applyFill="1" applyBorder="1" applyAlignment="1" applyProtection="0">
      <alignment horizontal="center" vertical="bottom"/>
    </xf>
    <xf numFmtId="49" fontId="7" fillId="4" borderId="5" applyNumberFormat="1" applyFont="1" applyFill="1" applyBorder="1" applyAlignment="1" applyProtection="0">
      <alignment horizontal="left" vertical="bottom"/>
    </xf>
    <xf numFmtId="3" fontId="7" fillId="4" borderId="5" applyNumberFormat="1" applyFont="1" applyFill="1" applyBorder="1" applyAlignment="1" applyProtection="0">
      <alignment horizontal="center" vertical="center"/>
    </xf>
    <xf numFmtId="3" fontId="7" fillId="4" borderId="34" applyNumberFormat="1" applyFont="1" applyFill="1" applyBorder="1" applyAlignment="1" applyProtection="0">
      <alignment horizontal="center" vertical="bottom"/>
    </xf>
    <xf numFmtId="3" fontId="7" fillId="4" borderId="25" applyNumberFormat="1" applyFont="1" applyFill="1" applyBorder="1" applyAlignment="1" applyProtection="0">
      <alignment horizontal="center" vertical="center"/>
    </xf>
    <xf numFmtId="3" fontId="13" fillId="4" borderId="5" applyNumberFormat="1" applyFont="1" applyFill="1" applyBorder="1" applyAlignment="1" applyProtection="0">
      <alignment horizontal="center" vertical="bottom"/>
    </xf>
    <xf numFmtId="9" fontId="7" fillId="4" borderId="5" applyNumberFormat="1" applyFont="1" applyFill="1" applyBorder="1" applyAlignment="1" applyProtection="0">
      <alignment horizontal="center" vertical="bottom"/>
    </xf>
    <xf numFmtId="3" fontId="6" fillId="4" borderId="5" applyNumberFormat="1" applyFont="1" applyFill="1" applyBorder="1" applyAlignment="1" applyProtection="0">
      <alignment horizontal="center" vertical="center"/>
    </xf>
    <xf numFmtId="3" fontId="7" fillId="4" borderId="25" applyNumberFormat="1" applyFont="1" applyFill="1" applyBorder="1" applyAlignment="1" applyProtection="0">
      <alignment horizontal="center" vertical="bottom"/>
    </xf>
    <xf numFmtId="3" fontId="13" fillId="8" borderId="5" applyNumberFormat="1" applyFont="1" applyFill="1" applyBorder="1" applyAlignment="1" applyProtection="0">
      <alignment horizontal="center" vertical="bottom"/>
    </xf>
    <xf numFmtId="3" fontId="7" fillId="6" borderId="5" applyNumberFormat="1" applyFont="1" applyFill="1" applyBorder="1" applyAlignment="1" applyProtection="0">
      <alignment horizontal="center" vertical="bottom"/>
    </xf>
    <xf numFmtId="1" fontId="7" fillId="4" borderId="5" applyNumberFormat="1" applyFont="1" applyFill="1" applyBorder="1" applyAlignment="1" applyProtection="0">
      <alignment horizontal="center" vertical="bottom"/>
    </xf>
    <xf numFmtId="4" fontId="7" fillId="4" borderId="5" applyNumberFormat="1" applyFont="1" applyFill="1" applyBorder="1" applyAlignment="1" applyProtection="0">
      <alignment horizontal="center" vertical="bottom"/>
    </xf>
    <xf numFmtId="0" fontId="7" fillId="4" borderId="5" applyNumberFormat="1" applyFont="1" applyFill="1" applyBorder="1" applyAlignment="1" applyProtection="0">
      <alignment horizontal="center" vertical="bottom"/>
    </xf>
    <xf numFmtId="0" fontId="0" fillId="4" borderId="6" applyNumberFormat="1" applyFont="1" applyFill="1" applyBorder="1" applyAlignment="1" applyProtection="0">
      <alignment vertical="bottom"/>
    </xf>
    <xf numFmtId="3" fontId="13" fillId="4" borderId="27" applyNumberFormat="1" applyFont="1" applyFill="1" applyBorder="1" applyAlignment="1" applyProtection="0">
      <alignment horizontal="center" vertical="bottom"/>
    </xf>
    <xf numFmtId="49" fontId="0" fillId="4" borderId="29" applyNumberFormat="1" applyFont="1" applyFill="1" applyBorder="1" applyAlignment="1" applyProtection="0">
      <alignment vertical="bottom"/>
    </xf>
    <xf numFmtId="3" fontId="7" fillId="4" borderId="35" applyNumberFormat="1" applyFont="1" applyFill="1" applyBorder="1" applyAlignment="1" applyProtection="0">
      <alignment horizontal="center" vertical="bottom"/>
    </xf>
    <xf numFmtId="49" fontId="7" fillId="4" borderId="36" applyNumberFormat="1" applyFont="1" applyFill="1" applyBorder="1" applyAlignment="1" applyProtection="0">
      <alignment horizontal="left" vertical="bottom"/>
    </xf>
    <xf numFmtId="3" fontId="7" fillId="4" borderId="37" applyNumberFormat="1" applyFont="1" applyFill="1" applyBorder="1" applyAlignment="1" applyProtection="0">
      <alignment horizontal="center" vertical="bottom"/>
    </xf>
    <xf numFmtId="3" fontId="13" fillId="4" borderId="38" applyNumberFormat="1" applyFont="1" applyFill="1" applyBorder="1" applyAlignment="1" applyProtection="0">
      <alignment horizontal="center" vertical="bottom"/>
    </xf>
    <xf numFmtId="3" fontId="7" fillId="4" borderId="36" applyNumberFormat="1" applyFont="1" applyFill="1" applyBorder="1" applyAlignment="1" applyProtection="0">
      <alignment horizontal="center" vertical="bottom"/>
    </xf>
    <xf numFmtId="3" fontId="7" fillId="6" borderId="36" applyNumberFormat="1" applyFont="1" applyFill="1" applyBorder="1" applyAlignment="1" applyProtection="0">
      <alignment horizontal="center" vertical="bottom"/>
    </xf>
    <xf numFmtId="0" fontId="0" fillId="4" borderId="39" applyNumberFormat="0" applyFont="1" applyFill="1" applyBorder="1" applyAlignment="1" applyProtection="0">
      <alignment vertical="bottom"/>
    </xf>
    <xf numFmtId="49" fontId="14" fillId="6" borderId="40" applyNumberFormat="1" applyFont="1" applyFill="1" applyBorder="1" applyAlignment="1" applyProtection="0">
      <alignment horizontal="left" vertical="center"/>
    </xf>
    <xf numFmtId="3" fontId="14" fillId="6" borderId="34" applyNumberFormat="1" applyFont="1" applyFill="1" applyBorder="1" applyAlignment="1" applyProtection="0">
      <alignment horizontal="center" vertical="center"/>
    </xf>
    <xf numFmtId="3" fontId="14" fillId="6" borderId="35" applyNumberFormat="1" applyFont="1" applyFill="1" applyBorder="1" applyAlignment="1" applyProtection="0">
      <alignment horizontal="center" vertical="center"/>
    </xf>
    <xf numFmtId="3" fontId="14" fillId="6" borderId="41" applyNumberFormat="1" applyFont="1" applyFill="1" applyBorder="1" applyAlignment="1" applyProtection="0">
      <alignment horizontal="center" vertical="center"/>
    </xf>
    <xf numFmtId="3" fontId="15" fillId="11" borderId="41" applyNumberFormat="1" applyFont="1" applyFill="1" applyBorder="1" applyAlignment="1" applyProtection="0">
      <alignment horizontal="center" vertical="center"/>
    </xf>
    <xf numFmtId="9" fontId="7" fillId="4" borderId="25" applyNumberFormat="1" applyFont="1" applyFill="1" applyBorder="1" applyAlignment="1" applyProtection="0">
      <alignment horizontal="center" vertical="bottom"/>
    </xf>
    <xf numFmtId="3" fontId="14" fillId="7" borderId="25" applyNumberFormat="1" applyFont="1" applyFill="1" applyBorder="1" applyAlignment="1" applyProtection="0">
      <alignment horizontal="center" vertical="center"/>
    </xf>
    <xf numFmtId="3" fontId="13" fillId="8" borderId="34" applyNumberFormat="1" applyFont="1" applyFill="1" applyBorder="1" applyAlignment="1" applyProtection="0">
      <alignment horizontal="center" vertical="bottom"/>
    </xf>
    <xf numFmtId="0" fontId="0" fillId="4" borderId="25" applyNumberFormat="0" applyFont="1" applyFill="1" applyBorder="1" applyAlignment="1" applyProtection="0">
      <alignment vertical="bottom"/>
    </xf>
    <xf numFmtId="0" fontId="0" fillId="4" borderId="27" applyNumberFormat="0" applyFont="1" applyFill="1" applyBorder="1" applyAlignment="1" applyProtection="0">
      <alignment vertical="bottom"/>
    </xf>
    <xf numFmtId="49" fontId="6" fillId="4" borderId="29" applyNumberFormat="1" applyFont="1" applyFill="1" applyBorder="1" applyAlignment="1" applyProtection="0">
      <alignment vertical="bottom"/>
    </xf>
    <xf numFmtId="0" fontId="0" fillId="4" borderId="42" applyNumberFormat="0" applyFont="1" applyFill="1" applyBorder="1" applyAlignment="1" applyProtection="0">
      <alignment vertical="bottom"/>
    </xf>
    <xf numFmtId="3" fontId="16" fillId="4" borderId="5" applyNumberFormat="1" applyFont="1" applyFill="1" applyBorder="1" applyAlignment="1" applyProtection="0">
      <alignment horizontal="center" vertical="center"/>
    </xf>
    <xf numFmtId="0" fontId="14" fillId="7" borderId="5" applyNumberFormat="0" applyFont="1" applyFill="1" applyBorder="1" applyAlignment="1" applyProtection="0">
      <alignment vertical="bottom"/>
    </xf>
    <xf numFmtId="0" fontId="14" fillId="4" borderId="27" applyNumberFormat="0" applyFont="1" applyFill="1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horizontal="left" vertical="bottom"/>
    </xf>
    <xf numFmtId="3" fontId="0" fillId="4" borderId="5" applyNumberFormat="1" applyFont="1" applyFill="1" applyBorder="1" applyAlignment="1" applyProtection="0">
      <alignment vertical="bottom"/>
    </xf>
    <xf numFmtId="9" fontId="0" fillId="4" borderId="5" applyNumberFormat="1" applyFont="1" applyFill="1" applyBorder="1" applyAlignment="1" applyProtection="0">
      <alignment vertical="bottom"/>
    </xf>
    <xf numFmtId="0" fontId="0" fillId="4" borderId="43" applyNumberFormat="0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/>
    </xf>
    <xf numFmtId="0" fontId="0" fillId="4" borderId="44" applyNumberFormat="0" applyFont="1" applyFill="1" applyBorder="1" applyAlignment="1" applyProtection="0">
      <alignment vertical="bottom"/>
    </xf>
    <xf numFmtId="49" fontId="17" fillId="5" borderId="45" applyNumberFormat="1" applyFont="1" applyFill="1" applyBorder="1" applyAlignment="1" applyProtection="0">
      <alignment horizontal="center" vertical="bottom" wrapText="1"/>
    </xf>
    <xf numFmtId="49" fontId="17" fillId="5" borderId="46" applyNumberFormat="1" applyFont="1" applyFill="1" applyBorder="1" applyAlignment="1" applyProtection="0">
      <alignment horizontal="center" vertical="bottom" wrapText="1"/>
    </xf>
    <xf numFmtId="49" fontId="17" fillId="5" borderId="46" applyNumberFormat="1" applyFont="1" applyFill="1" applyBorder="1" applyAlignment="1" applyProtection="0">
      <alignment horizontal="center" vertical="bottom"/>
    </xf>
    <xf numFmtId="49" fontId="17" fillId="5" borderId="47" applyNumberFormat="1" applyFont="1" applyFill="1" applyBorder="1" applyAlignment="1" applyProtection="0">
      <alignment horizontal="center" vertical="bottom"/>
    </xf>
    <xf numFmtId="49" fontId="17" fillId="5" borderId="48" applyNumberFormat="1" applyFont="1" applyFill="1" applyBorder="1" applyAlignment="1" applyProtection="0">
      <alignment horizontal="center" vertical="bottom"/>
    </xf>
    <xf numFmtId="3" fontId="2" fillId="4" borderId="49" applyNumberFormat="1" applyFont="1" applyFill="1" applyBorder="1" applyAlignment="1" applyProtection="0">
      <alignment horizontal="center" vertical="bottom"/>
    </xf>
    <xf numFmtId="3" fontId="2" fillId="4" borderId="50" applyNumberFormat="1" applyFont="1" applyFill="1" applyBorder="1" applyAlignment="1" applyProtection="0">
      <alignment horizontal="center" vertical="bottom"/>
    </xf>
    <xf numFmtId="3" fontId="2" fillId="4" borderId="51" applyNumberFormat="1" applyFont="1" applyFill="1" applyBorder="1" applyAlignment="1" applyProtection="0">
      <alignment horizontal="center" vertical="bottom"/>
    </xf>
    <xf numFmtId="3" fontId="2" fillId="4" borderId="52" applyNumberFormat="1" applyFont="1" applyFill="1" applyBorder="1" applyAlignment="1" applyProtection="0">
      <alignment horizontal="center" vertical="bottom"/>
    </xf>
    <xf numFmtId="49" fontId="2" fillId="4" borderId="5" applyNumberFormat="1" applyFont="1" applyFill="1" applyBorder="1" applyAlignment="1" applyProtection="0">
      <alignment vertical="bottom"/>
    </xf>
    <xf numFmtId="0" fontId="2" fillId="4" borderId="5" applyNumberFormat="0" applyFont="1" applyFill="1" applyBorder="1" applyAlignment="1" applyProtection="0">
      <alignment vertical="bottom"/>
    </xf>
    <xf numFmtId="0" fontId="2" fillId="4" borderId="53" applyNumberFormat="0" applyFont="1" applyFill="1" applyBorder="1" applyAlignment="1" applyProtection="0">
      <alignment vertical="bottom"/>
    </xf>
    <xf numFmtId="59" fontId="6" fillId="4" borderId="5" applyNumberFormat="1" applyFont="1" applyFill="1" applyBorder="1" applyAlignment="1" applyProtection="0">
      <alignment horizontal="center" vertical="bottom"/>
    </xf>
    <xf numFmtId="49" fontId="17" fillId="5" borderId="54" applyNumberFormat="1" applyFont="1" applyFill="1" applyBorder="1" applyAlignment="1" applyProtection="0">
      <alignment horizontal="center" vertical="bottom"/>
    </xf>
    <xf numFmtId="3" fontId="7" fillId="4" borderId="5" applyNumberFormat="1" applyFont="1" applyFill="1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vertical="bottom"/>
    </xf>
    <xf numFmtId="0" fontId="0" fillId="4" borderId="53" applyNumberFormat="0" applyFont="1" applyFill="1" applyBorder="1" applyAlignment="1" applyProtection="0">
      <alignment vertical="bottom"/>
    </xf>
    <xf numFmtId="60" fontId="18" fillId="4" borderId="5" applyNumberFormat="1" applyFont="1" applyFill="1" applyBorder="1" applyAlignment="1" applyProtection="0">
      <alignment horizontal="center" vertical="bottom"/>
    </xf>
    <xf numFmtId="61" fontId="0" fillId="4" borderId="5" applyNumberFormat="1" applyFont="1" applyFill="1" applyBorder="1" applyAlignment="1" applyProtection="0">
      <alignment vertical="bottom"/>
    </xf>
    <xf numFmtId="3" fontId="17" fillId="4" borderId="45" applyNumberFormat="1" applyFont="1" applyFill="1" applyBorder="1" applyAlignment="1" applyProtection="0">
      <alignment horizontal="center" vertical="bottom" wrapText="1"/>
    </xf>
    <xf numFmtId="3" fontId="17" fillId="4" borderId="46" applyNumberFormat="1" applyFont="1" applyFill="1" applyBorder="1" applyAlignment="1" applyProtection="0">
      <alignment horizontal="center" vertical="bottom" wrapText="1"/>
    </xf>
    <xf numFmtId="0" fontId="17" fillId="4" borderId="46" applyNumberFormat="0" applyFont="1" applyFill="1" applyBorder="1" applyAlignment="1" applyProtection="0">
      <alignment horizontal="center" vertical="bottom"/>
    </xf>
    <xf numFmtId="0" fontId="17" fillId="4" borderId="47" applyNumberFormat="0" applyFont="1" applyFill="1" applyBorder="1" applyAlignment="1" applyProtection="0">
      <alignment horizontal="center" vertical="bottom"/>
    </xf>
    <xf numFmtId="0" fontId="17" fillId="4" borderId="54" applyNumberFormat="0" applyFont="1" applyFill="1" applyBorder="1" applyAlignment="1" applyProtection="0">
      <alignment horizontal="center" vertical="bottom"/>
    </xf>
    <xf numFmtId="0" fontId="0" fillId="4" borderId="55" applyNumberFormat="0" applyFont="1" applyFill="1" applyBorder="1" applyAlignment="1" applyProtection="0">
      <alignment vertical="bottom"/>
    </xf>
    <xf numFmtId="49" fontId="19" fillId="4" borderId="5" applyNumberFormat="1" applyFont="1" applyFill="1" applyBorder="1" applyAlignment="1" applyProtection="0">
      <alignment horizontal="center" vertical="bottom"/>
    </xf>
    <xf numFmtId="49" fontId="12" fillId="10" borderId="56" applyNumberFormat="1" applyFont="1" applyFill="1" applyBorder="1" applyAlignment="1" applyProtection="0">
      <alignment horizontal="center" vertical="bottom"/>
    </xf>
    <xf numFmtId="49" fontId="12" fillId="10" borderId="57" applyNumberFormat="1" applyFont="1" applyFill="1" applyBorder="1" applyAlignment="1" applyProtection="0">
      <alignment horizontal="center" vertical="bottom"/>
    </xf>
    <xf numFmtId="49" fontId="12" fillId="10" borderId="58" applyNumberFormat="1" applyFont="1" applyFill="1" applyBorder="1" applyAlignment="1" applyProtection="0">
      <alignment horizontal="center" vertical="bottom"/>
    </xf>
    <xf numFmtId="49" fontId="12" fillId="10" borderId="59" applyNumberFormat="1" applyFont="1" applyFill="1" applyBorder="1" applyAlignment="1" applyProtection="0">
      <alignment horizontal="center" vertical="bottom"/>
    </xf>
    <xf numFmtId="10" fontId="7" fillId="4" borderId="5" applyNumberFormat="1" applyFont="1" applyFill="1" applyBorder="1" applyAlignment="1" applyProtection="0">
      <alignment vertical="bottom"/>
    </xf>
    <xf numFmtId="49" fontId="6" fillId="6" borderId="60" applyNumberFormat="1" applyFont="1" applyFill="1" applyBorder="1" applyAlignment="1" applyProtection="0">
      <alignment vertical="bottom"/>
    </xf>
    <xf numFmtId="3" fontId="6" fillId="4" borderId="61" applyNumberFormat="1" applyFont="1" applyFill="1" applyBorder="1" applyAlignment="1" applyProtection="0">
      <alignment horizontal="center" vertical="bottom"/>
    </xf>
    <xf numFmtId="3" fontId="6" fillId="4" borderId="55" applyNumberFormat="1" applyFont="1" applyFill="1" applyBorder="1" applyAlignment="1" applyProtection="0">
      <alignment horizontal="center" vertical="bottom"/>
    </xf>
    <xf numFmtId="3" fontId="6" fillId="6" borderId="55" applyNumberFormat="1" applyFont="1" applyFill="1" applyBorder="1" applyAlignment="1" applyProtection="0">
      <alignment horizontal="center" vertical="bottom"/>
    </xf>
    <xf numFmtId="0" fontId="0" fillId="6" borderId="62" applyNumberFormat="0" applyFont="1" applyFill="1" applyBorder="1" applyAlignment="1" applyProtection="0">
      <alignment vertical="bottom"/>
    </xf>
    <xf numFmtId="0" fontId="0" fillId="6" borderId="63" applyNumberFormat="0" applyFont="1" applyFill="1" applyBorder="1" applyAlignment="1" applyProtection="0">
      <alignment vertical="bottom"/>
    </xf>
    <xf numFmtId="0" fontId="0" fillId="4" borderId="64" applyNumberFormat="0" applyFont="1" applyFill="1" applyBorder="1" applyAlignment="1" applyProtection="0">
      <alignment vertical="bottom"/>
    </xf>
    <xf numFmtId="0" fontId="0" fillId="4" borderId="65" applyNumberFormat="0" applyFont="1" applyFill="1" applyBorder="1" applyAlignment="1" applyProtection="0">
      <alignment vertical="bottom"/>
    </xf>
    <xf numFmtId="0" fontId="0" fillId="4" borderId="6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6" fillId="4" borderId="2" applyNumberFormat="0" applyFont="1" applyFill="1" applyBorder="1" applyAlignment="1" applyProtection="0">
      <alignment horizontal="center" vertical="bottom"/>
    </xf>
    <xf numFmtId="0" fontId="27" fillId="4" borderId="2" applyNumberFormat="0" applyFont="1" applyFill="1" applyBorder="1" applyAlignment="1" applyProtection="0">
      <alignment horizontal="center" vertical="bottom"/>
    </xf>
    <xf numFmtId="0" fontId="26" fillId="4" borderId="5" applyNumberFormat="0" applyFont="1" applyFill="1" applyBorder="1" applyAlignment="1" applyProtection="0">
      <alignment horizontal="center" vertical="bottom"/>
    </xf>
    <xf numFmtId="0" fontId="27" fillId="4" borderId="5" applyNumberFormat="0" applyFont="1" applyFill="1" applyBorder="1" applyAlignment="1" applyProtection="0">
      <alignment horizontal="center" vertical="bottom"/>
    </xf>
    <xf numFmtId="0" fontId="28" fillId="4" borderId="5" applyNumberFormat="1" applyFont="1" applyFill="1" applyBorder="1" applyAlignment="1" applyProtection="0">
      <alignment horizontal="center" vertical="bottom"/>
    </xf>
    <xf numFmtId="0" fontId="0" fillId="4" borderId="16" applyNumberFormat="0" applyFont="1" applyFill="1" applyBorder="1" applyAlignment="1" applyProtection="0">
      <alignment vertical="bottom"/>
    </xf>
    <xf numFmtId="49" fontId="29" fillId="5" borderId="8" applyNumberFormat="1" applyFont="1" applyFill="1" applyBorder="1" applyAlignment="1" applyProtection="0">
      <alignment horizontal="left" vertical="center"/>
    </xf>
    <xf numFmtId="0" fontId="29" fillId="5" borderId="5" applyNumberFormat="0" applyFont="1" applyFill="1" applyBorder="1" applyAlignment="1" applyProtection="0">
      <alignment horizontal="left" vertical="center"/>
    </xf>
    <xf numFmtId="0" fontId="29" fillId="4" borderId="5" applyNumberFormat="0" applyFont="1" applyFill="1" applyBorder="1" applyAlignment="1" applyProtection="0">
      <alignment horizontal="left" vertical="center"/>
    </xf>
    <xf numFmtId="0" fontId="26" fillId="4" borderId="5" applyNumberFormat="0" applyFont="1" applyFill="1" applyBorder="1" applyAlignment="1" applyProtection="0">
      <alignment horizontal="left" vertical="center"/>
    </xf>
    <xf numFmtId="0" fontId="30" fillId="4" borderId="5" applyNumberFormat="1" applyFont="1" applyFill="1" applyBorder="1" applyAlignment="1" applyProtection="0">
      <alignment horizontal="left" vertical="center"/>
    </xf>
    <xf numFmtId="49" fontId="31" fillId="4" borderId="5" applyNumberFormat="1" applyFont="1" applyFill="1" applyBorder="1" applyAlignment="1" applyProtection="0">
      <alignment vertical="center"/>
    </xf>
    <xf numFmtId="0" fontId="26" fillId="4" borderId="5" applyNumberFormat="0" applyFont="1" applyFill="1" applyBorder="1" applyAlignment="1" applyProtection="0">
      <alignment vertical="center"/>
    </xf>
    <xf numFmtId="49" fontId="0" fillId="6" borderId="5" applyNumberFormat="1" applyFont="1" applyFill="1" applyBorder="1" applyAlignment="1" applyProtection="0">
      <alignment vertical="bottom"/>
    </xf>
    <xf numFmtId="62" fontId="32" fillId="6" borderId="5" applyNumberFormat="1" applyFont="1" applyFill="1" applyBorder="1" applyAlignment="1" applyProtection="0">
      <alignment vertical="bottom"/>
    </xf>
    <xf numFmtId="0" fontId="26" fillId="4" borderId="5" applyNumberFormat="0" applyFont="1" applyFill="1" applyBorder="1" applyAlignment="1" applyProtection="0">
      <alignment horizontal="center" vertical="center"/>
    </xf>
    <xf numFmtId="14" fontId="26" fillId="4" borderId="5" applyNumberFormat="1" applyFont="1" applyFill="1" applyBorder="1" applyAlignment="1" applyProtection="0">
      <alignment horizontal="center" vertical="center"/>
    </xf>
    <xf numFmtId="14" fontId="26" fillId="4" borderId="5" applyNumberFormat="1" applyFont="1" applyFill="1" applyBorder="1" applyAlignment="1" applyProtection="0">
      <alignment vertical="bottom"/>
    </xf>
    <xf numFmtId="0" fontId="33" fillId="4" borderId="5" applyNumberFormat="0" applyFont="1" applyFill="1" applyBorder="1" applyAlignment="1" applyProtection="0">
      <alignment horizontal="center" vertical="bottom" wrapText="1"/>
    </xf>
    <xf numFmtId="0" fontId="1" fillId="4" borderId="5" applyNumberFormat="0" applyFont="1" applyFill="1" applyBorder="1" applyAlignment="1" applyProtection="0">
      <alignment vertical="bottom"/>
    </xf>
    <xf numFmtId="0" fontId="1" fillId="4" borderId="27" applyNumberFormat="0" applyFont="1" applyFill="1" applyBorder="1" applyAlignment="1" applyProtection="0">
      <alignment vertical="bottom"/>
    </xf>
    <xf numFmtId="49" fontId="34" fillId="10" borderId="67" applyNumberFormat="1" applyFont="1" applyFill="1" applyBorder="1" applyAlignment="1" applyProtection="0">
      <alignment horizontal="center" vertical="center" wrapText="1"/>
    </xf>
    <xf numFmtId="0" fontId="0" fillId="4" borderId="29" applyNumberFormat="0" applyFont="1" applyFill="1" applyBorder="1" applyAlignment="1" applyProtection="0">
      <alignment vertical="bottom"/>
    </xf>
    <xf numFmtId="3" fontId="26" fillId="4" borderId="5" applyNumberFormat="1" applyFont="1" applyFill="1" applyBorder="1" applyAlignment="1" applyProtection="0">
      <alignment horizontal="center" vertical="center" wrapText="1"/>
    </xf>
    <xf numFmtId="0" fontId="0" fillId="4" borderId="68" applyNumberFormat="0" applyFont="1" applyFill="1" applyBorder="1" applyAlignment="1" applyProtection="0">
      <alignment vertical="bottom"/>
    </xf>
    <xf numFmtId="0" fontId="26" fillId="6" borderId="5" applyNumberFormat="0" applyFont="1" applyFill="1" applyBorder="1" applyAlignment="1" applyProtection="0">
      <alignment horizontal="center" vertical="center"/>
    </xf>
    <xf numFmtId="0" fontId="1" fillId="4" borderId="19" applyNumberFormat="0" applyFont="1" applyFill="1" applyBorder="1" applyAlignment="1" applyProtection="0">
      <alignment vertical="bottom"/>
    </xf>
    <xf numFmtId="63" fontId="34" fillId="10" borderId="67" applyNumberFormat="1" applyFont="1" applyFill="1" applyBorder="1" applyAlignment="1" applyProtection="0">
      <alignment horizontal="center" vertical="bottom"/>
    </xf>
    <xf numFmtId="49" fontId="34" fillId="10" borderId="67" applyNumberFormat="1" applyFont="1" applyFill="1" applyBorder="1" applyAlignment="1" applyProtection="0">
      <alignment horizontal="center" vertical="bottom"/>
    </xf>
    <xf numFmtId="3" fontId="27" fillId="4" borderId="27" applyNumberFormat="1" applyFont="1" applyFill="1" applyBorder="1" applyAlignment="1" applyProtection="0">
      <alignment horizontal="center" vertical="bottom"/>
    </xf>
    <xf numFmtId="0" fontId="35" fillId="10" borderId="28" applyNumberFormat="1" applyFont="1" applyFill="1" applyBorder="1" applyAlignment="1" applyProtection="0">
      <alignment horizontal="center" vertical="bottom"/>
    </xf>
    <xf numFmtId="49" fontId="26" fillId="4" borderId="29" applyNumberFormat="1" applyFont="1" applyFill="1" applyBorder="1" applyAlignment="1" applyProtection="0">
      <alignment horizontal="left" vertical="bottom"/>
    </xf>
    <xf numFmtId="3" fontId="26" fillId="4" borderId="5" applyNumberFormat="1" applyFont="1" applyFill="1" applyBorder="1" applyAlignment="1" applyProtection="0">
      <alignment horizontal="center" vertical="bottom"/>
    </xf>
    <xf numFmtId="0" fontId="0" fillId="4" borderId="69" applyNumberFormat="0" applyFont="1" applyFill="1" applyBorder="1" applyAlignment="1" applyProtection="0">
      <alignment vertical="bottom"/>
    </xf>
    <xf numFmtId="0" fontId="36" fillId="10" borderId="28" applyNumberFormat="1" applyFont="1" applyFill="1" applyBorder="1" applyAlignment="1" applyProtection="0">
      <alignment horizontal="center" vertical="bottom"/>
    </xf>
    <xf numFmtId="49" fontId="37" fillId="6" borderId="29" applyNumberFormat="1" applyFont="1" applyFill="1" applyBorder="1" applyAlignment="1" applyProtection="0">
      <alignment horizontal="left" vertical="bottom"/>
    </xf>
    <xf numFmtId="49" fontId="2" fillId="6" borderId="27" applyNumberFormat="1" applyFont="1" applyFill="1" applyBorder="1" applyAlignment="1" applyProtection="0">
      <alignment horizontal="center" vertical="center"/>
    </xf>
    <xf numFmtId="3" fontId="38" fillId="6" borderId="67" applyNumberFormat="1" applyFont="1" applyFill="1" applyBorder="1" applyAlignment="1" applyProtection="0">
      <alignment horizontal="center" vertical="center"/>
    </xf>
    <xf numFmtId="3" fontId="2" fillId="6" borderId="67" applyNumberFormat="1" applyFont="1" applyFill="1" applyBorder="1" applyAlignment="1" applyProtection="0">
      <alignment horizontal="center" vertical="bottom"/>
    </xf>
    <xf numFmtId="3" fontId="39" fillId="6" borderId="67" applyNumberFormat="1" applyFont="1" applyFill="1" applyBorder="1" applyAlignment="1" applyProtection="0">
      <alignment horizontal="center" vertical="bottom"/>
    </xf>
    <xf numFmtId="9" fontId="1" fillId="4" borderId="29" applyNumberFormat="1" applyFont="1" applyFill="1" applyBorder="1" applyAlignment="1" applyProtection="0">
      <alignment horizontal="center" vertical="bottom"/>
    </xf>
    <xf numFmtId="0" fontId="27" fillId="4" borderId="29" applyNumberFormat="0" applyFont="1" applyFill="1" applyBorder="1" applyAlignment="1" applyProtection="0">
      <alignment horizontal="left" vertical="bottom"/>
    </xf>
    <xf numFmtId="3" fontId="32" fillId="4" borderId="5" applyNumberFormat="1" applyFont="1" applyFill="1" applyBorder="1" applyAlignment="1" applyProtection="0">
      <alignment horizontal="center" vertical="bottom"/>
    </xf>
    <xf numFmtId="49" fontId="37" fillId="4" borderId="29" applyNumberFormat="1" applyFont="1" applyFill="1" applyBorder="1" applyAlignment="1" applyProtection="0">
      <alignment horizontal="left" vertical="bottom"/>
    </xf>
    <xf numFmtId="49" fontId="2" fillId="4" borderId="27" applyNumberFormat="1" applyFont="1" applyFill="1" applyBorder="1" applyAlignment="1" applyProtection="0">
      <alignment horizontal="center" vertical="center"/>
    </xf>
    <xf numFmtId="3" fontId="38" fillId="4" borderId="67" applyNumberFormat="1" applyFont="1" applyFill="1" applyBorder="1" applyAlignment="1" applyProtection="0">
      <alignment horizontal="center" vertical="center"/>
    </xf>
    <xf numFmtId="3" fontId="2" fillId="4" borderId="67" applyNumberFormat="1" applyFont="1" applyFill="1" applyBorder="1" applyAlignment="1" applyProtection="0">
      <alignment horizontal="center" vertical="bottom"/>
    </xf>
    <xf numFmtId="3" fontId="39" fillId="4" borderId="67" applyNumberFormat="1" applyFont="1" applyFill="1" applyBorder="1" applyAlignment="1" applyProtection="0">
      <alignment horizontal="center" vertical="bottom"/>
    </xf>
    <xf numFmtId="49" fontId="27" fillId="4" borderId="29" applyNumberFormat="1" applyFont="1" applyFill="1" applyBorder="1" applyAlignment="1" applyProtection="0">
      <alignment horizontal="left" vertical="bottom"/>
    </xf>
    <xf numFmtId="0" fontId="0" fillId="4" borderId="5" applyNumberFormat="1" applyFont="1" applyFill="1" applyBorder="1" applyAlignment="1" applyProtection="0">
      <alignment vertical="bottom"/>
    </xf>
    <xf numFmtId="3" fontId="40" fillId="4" borderId="67" applyNumberFormat="1" applyFont="1" applyFill="1" applyBorder="1" applyAlignment="1" applyProtection="0">
      <alignment horizontal="center" vertical="bottom"/>
    </xf>
    <xf numFmtId="3" fontId="41" fillId="4" borderId="67" applyNumberFormat="1" applyFont="1" applyFill="1" applyBorder="1" applyAlignment="1" applyProtection="0">
      <alignment horizontal="center" vertical="bottom"/>
    </xf>
    <xf numFmtId="3" fontId="42" fillId="4" borderId="27" applyNumberFormat="1" applyFont="1" applyFill="1" applyBorder="1" applyAlignment="1" applyProtection="0">
      <alignment horizontal="center" vertical="bottom"/>
    </xf>
    <xf numFmtId="3" fontId="39" fillId="4" borderId="70" applyNumberFormat="1" applyFont="1" applyFill="1" applyBorder="1" applyAlignment="1" applyProtection="0">
      <alignment horizontal="center" vertical="bottom"/>
    </xf>
    <xf numFmtId="3" fontId="39" fillId="6" borderId="71" applyNumberFormat="1" applyFont="1" applyFill="1" applyBorder="1" applyAlignment="1" applyProtection="0">
      <alignment horizontal="center" vertical="bottom"/>
    </xf>
    <xf numFmtId="49" fontId="2" fillId="4" borderId="72" applyNumberFormat="1" applyFont="1" applyFill="1" applyBorder="1" applyAlignment="1" applyProtection="0">
      <alignment horizontal="center" vertical="center"/>
    </xf>
    <xf numFmtId="3" fontId="38" fillId="4" borderId="73" applyNumberFormat="1" applyFont="1" applyFill="1" applyBorder="1" applyAlignment="1" applyProtection="0">
      <alignment horizontal="center" vertical="center"/>
    </xf>
    <xf numFmtId="3" fontId="2" fillId="4" borderId="73" applyNumberFormat="1" applyFont="1" applyFill="1" applyBorder="1" applyAlignment="1" applyProtection="0">
      <alignment horizontal="center" vertical="bottom"/>
    </xf>
    <xf numFmtId="3" fontId="39" fillId="4" borderId="73" applyNumberFormat="1" applyFont="1" applyFill="1" applyBorder="1" applyAlignment="1" applyProtection="0">
      <alignment horizontal="center" vertical="bottom"/>
    </xf>
    <xf numFmtId="0" fontId="1" fillId="4" borderId="43" applyNumberFormat="0" applyFont="1" applyFill="1" applyBorder="1" applyAlignment="1" applyProtection="0">
      <alignment vertical="bottom"/>
    </xf>
    <xf numFmtId="49" fontId="31" fillId="4" borderId="20" applyNumberFormat="1" applyFont="1" applyFill="1" applyBorder="1" applyAlignment="1" applyProtection="0">
      <alignment horizontal="center" vertical="center"/>
    </xf>
    <xf numFmtId="3" fontId="37" fillId="4" borderId="21" applyNumberFormat="1" applyFont="1" applyFill="1" applyBorder="1" applyAlignment="1" applyProtection="0">
      <alignment horizontal="center" vertical="bottom"/>
    </xf>
    <xf numFmtId="3" fontId="37" fillId="4" borderId="22" applyNumberFormat="1" applyFont="1" applyFill="1" applyBorder="1" applyAlignment="1" applyProtection="0">
      <alignment horizontal="center" vertical="bottom"/>
    </xf>
    <xf numFmtId="3" fontId="43" fillId="4" borderId="74" applyNumberFormat="1" applyFont="1" applyFill="1" applyBorder="1" applyAlignment="1" applyProtection="0">
      <alignment horizontal="center" vertical="bottom"/>
    </xf>
    <xf numFmtId="3" fontId="43" fillId="4" borderId="75" applyNumberFormat="1" applyFont="1" applyFill="1" applyBorder="1" applyAlignment="1" applyProtection="0">
      <alignment horizontal="center" vertical="bottom"/>
    </xf>
    <xf numFmtId="3" fontId="37" fillId="4" borderId="76" applyNumberFormat="1" applyFont="1" applyFill="1" applyBorder="1" applyAlignment="1" applyProtection="0">
      <alignment horizontal="center" vertical="bottom"/>
    </xf>
    <xf numFmtId="9" fontId="1" fillId="4" borderId="25" applyNumberFormat="1" applyFont="1" applyFill="1" applyBorder="1" applyAlignment="1" applyProtection="0">
      <alignment horizontal="center" vertical="bottom"/>
    </xf>
    <xf numFmtId="3" fontId="27" fillId="4" borderId="5" applyNumberFormat="1" applyFont="1" applyFill="1" applyBorder="1" applyAlignment="1" applyProtection="0">
      <alignment horizontal="center" vertical="bottom"/>
    </xf>
    <xf numFmtId="0" fontId="0" fillId="4" borderId="30" applyNumberFormat="0" applyFont="1" applyFill="1" applyBorder="1" applyAlignment="1" applyProtection="0">
      <alignment vertical="bottom"/>
    </xf>
    <xf numFmtId="0" fontId="0" fillId="4" borderId="77" applyNumberFormat="0" applyFont="1" applyFill="1" applyBorder="1" applyAlignment="1" applyProtection="0">
      <alignment vertical="bottom"/>
    </xf>
    <xf numFmtId="0" fontId="0" fillId="4" borderId="78" applyNumberFormat="0" applyFont="1" applyFill="1" applyBorder="1" applyAlignment="1" applyProtection="0">
      <alignment vertical="bottom"/>
    </xf>
    <xf numFmtId="0" fontId="0" fillId="4" borderId="79" applyNumberFormat="0" applyFont="1" applyFill="1" applyBorder="1" applyAlignment="1" applyProtection="0">
      <alignment vertical="bottom"/>
    </xf>
    <xf numFmtId="0" fontId="0" fillId="4" borderId="80" applyNumberFormat="0" applyFont="1" applyFill="1" applyBorder="1" applyAlignment="1" applyProtection="0">
      <alignment vertical="bottom"/>
    </xf>
    <xf numFmtId="49" fontId="26" fillId="4" borderId="29" applyNumberFormat="1" applyFont="1" applyFill="1" applyBorder="1" applyAlignment="1" applyProtection="0">
      <alignment vertical="bottom"/>
    </xf>
    <xf numFmtId="0" fontId="44" fillId="4" borderId="27" applyNumberFormat="0" applyFont="1" applyFill="1" applyBorder="1" applyAlignment="1" applyProtection="0">
      <alignment vertical="bottom"/>
    </xf>
    <xf numFmtId="0" fontId="27" fillId="4" borderId="5" applyNumberFormat="0" applyFont="1" applyFill="1" applyBorder="1" applyAlignment="1" applyProtection="0">
      <alignment horizontal="left" vertical="bottom"/>
    </xf>
    <xf numFmtId="0" fontId="26" fillId="4" borderId="5" applyNumberFormat="0" applyFont="1" applyFill="1" applyBorder="1" applyAlignment="1" applyProtection="0">
      <alignment vertical="bottom"/>
    </xf>
    <xf numFmtId="0" fontId="27" fillId="4" borderId="27" applyNumberFormat="0" applyFont="1" applyFill="1" applyBorder="1" applyAlignment="1" applyProtection="0">
      <alignment horizontal="left" vertical="bottom"/>
    </xf>
    <xf numFmtId="3" fontId="0" fillId="4" borderId="29" applyNumberFormat="1" applyFont="1" applyFill="1" applyBorder="1" applyAlignment="1" applyProtection="0">
      <alignment vertical="bottom"/>
    </xf>
    <xf numFmtId="0" fontId="34" fillId="10" borderId="67" applyNumberFormat="0" applyFont="1" applyFill="1" applyBorder="1" applyAlignment="1" applyProtection="0">
      <alignment horizontal="center" vertical="bottom"/>
    </xf>
    <xf numFmtId="3" fontId="41" fillId="6" borderId="67" applyNumberFormat="1" applyFont="1" applyFill="1" applyBorder="1" applyAlignment="1" applyProtection="0">
      <alignment horizontal="center" vertical="bottom"/>
    </xf>
    <xf numFmtId="3" fontId="41" fillId="6" borderId="71" applyNumberFormat="1" applyFont="1" applyFill="1" applyBorder="1" applyAlignment="1" applyProtection="0">
      <alignment horizontal="center" vertical="bottom"/>
    </xf>
    <xf numFmtId="0" fontId="0" fillId="4" borderId="9" applyNumberFormat="0" applyFont="1" applyFill="1" applyBorder="1" applyAlignment="1" applyProtection="0">
      <alignment vertical="bottom"/>
    </xf>
    <xf numFmtId="0" fontId="26" fillId="4" borderId="10" applyNumberFormat="0" applyFont="1" applyFill="1" applyBorder="1" applyAlignment="1" applyProtection="0">
      <alignment horizontal="center" vertical="center"/>
    </xf>
    <xf numFmtId="49" fontId="1" fillId="6" borderId="29" applyNumberFormat="1" applyFont="1" applyFill="1" applyBorder="1" applyAlignment="1" applyProtection="0">
      <alignment horizontal="left" vertical="bottom"/>
    </xf>
    <xf numFmtId="3" fontId="2" fillId="6" borderId="27" applyNumberFormat="1" applyFont="1" applyFill="1" applyBorder="1" applyAlignment="1" applyProtection="0">
      <alignment horizontal="center" vertical="center"/>
    </xf>
    <xf numFmtId="3" fontId="2" fillId="6" borderId="67" applyNumberFormat="1" applyFont="1" applyFill="1" applyBorder="1" applyAlignment="1" applyProtection="0">
      <alignment horizontal="center" vertical="center"/>
    </xf>
    <xf numFmtId="3" fontId="2" fillId="9" borderId="29" applyNumberFormat="1" applyFont="1" applyFill="1" applyBorder="1" applyAlignment="1" applyProtection="0">
      <alignment horizontal="center" vertical="bottom"/>
    </xf>
    <xf numFmtId="49" fontId="1" fillId="4" borderId="29" applyNumberFormat="1" applyFont="1" applyFill="1" applyBorder="1" applyAlignment="1" applyProtection="0">
      <alignment horizontal="left" vertical="bottom"/>
    </xf>
    <xf numFmtId="3" fontId="2" fillId="4" borderId="27" applyNumberFormat="1" applyFont="1" applyFill="1" applyBorder="1" applyAlignment="1" applyProtection="0">
      <alignment horizontal="center" vertical="center"/>
    </xf>
    <xf numFmtId="3" fontId="2" fillId="4" borderId="67" applyNumberFormat="1" applyFont="1" applyFill="1" applyBorder="1" applyAlignment="1" applyProtection="0">
      <alignment horizontal="center" vertical="center"/>
    </xf>
    <xf numFmtId="3" fontId="2" fillId="9" borderId="29" applyNumberFormat="1" applyFont="1" applyFill="1" applyBorder="1" applyAlignment="1" applyProtection="0">
      <alignment horizontal="center" vertical="top"/>
    </xf>
    <xf numFmtId="0" fontId="0" fillId="11" borderId="5" applyNumberFormat="0" applyFont="1" applyFill="1" applyBorder="1" applyAlignment="1" applyProtection="0">
      <alignment vertical="top"/>
    </xf>
    <xf numFmtId="3" fontId="39" fillId="8" borderId="29" applyNumberFormat="1" applyFont="1" applyFill="1" applyBorder="1" applyAlignment="1" applyProtection="0">
      <alignment horizontal="center" vertical="top"/>
    </xf>
    <xf numFmtId="49" fontId="1" fillId="4" borderId="81" applyNumberFormat="1" applyFont="1" applyFill="1" applyBorder="1" applyAlignment="1" applyProtection="0">
      <alignment horizontal="left" vertical="bottom"/>
    </xf>
    <xf numFmtId="3" fontId="2" fillId="4" borderId="72" applyNumberFormat="1" applyFont="1" applyFill="1" applyBorder="1" applyAlignment="1" applyProtection="0">
      <alignment horizontal="center" vertical="center"/>
    </xf>
    <xf numFmtId="3" fontId="2" fillId="4" borderId="73" applyNumberFormat="1" applyFont="1" applyFill="1" applyBorder="1" applyAlignment="1" applyProtection="0">
      <alignment horizontal="center" vertical="center"/>
    </xf>
    <xf numFmtId="49" fontId="37" fillId="4" borderId="21" applyNumberFormat="1" applyFont="1" applyFill="1" applyBorder="1" applyAlignment="1" applyProtection="0">
      <alignment horizontal="center" vertical="bottom"/>
    </xf>
    <xf numFmtId="3" fontId="2" fillId="9" borderId="25" applyNumberFormat="1" applyFont="1" applyFill="1" applyBorder="1" applyAlignment="1" applyProtection="0">
      <alignment horizontal="center" vertical="bottom"/>
    </xf>
    <xf numFmtId="62" fontId="45" fillId="4" borderId="5" applyNumberFormat="1" applyFont="1" applyFill="1" applyBorder="1" applyAlignment="1" applyProtection="0">
      <alignment horizontal="center" vertical="bottom"/>
    </xf>
    <xf numFmtId="0" fontId="0" fillId="11" borderId="5" applyNumberFormat="0" applyFont="1" applyFill="1" applyBorder="1" applyAlignment="1" applyProtection="0">
      <alignment vertical="bottom"/>
    </xf>
    <xf numFmtId="0" fontId="2" fillId="4" borderId="19" applyNumberFormat="0" applyFont="1" applyFill="1" applyBorder="1" applyAlignment="1" applyProtection="0">
      <alignment vertical="bottom"/>
    </xf>
    <xf numFmtId="49" fontId="46" fillId="10" borderId="56" applyNumberFormat="1" applyFont="1" applyFill="1" applyBorder="1" applyAlignment="1" applyProtection="0">
      <alignment horizontal="center" vertical="bottom"/>
    </xf>
    <xf numFmtId="49" fontId="46" fillId="10" borderId="57" applyNumberFormat="1" applyFont="1" applyFill="1" applyBorder="1" applyAlignment="1" applyProtection="0">
      <alignment horizontal="center" vertical="bottom"/>
    </xf>
    <xf numFmtId="49" fontId="46" fillId="10" borderId="58" applyNumberFormat="1" applyFont="1" applyFill="1" applyBorder="1" applyAlignment="1" applyProtection="0">
      <alignment horizontal="center" vertical="bottom"/>
    </xf>
    <xf numFmtId="0" fontId="0" fillId="4" borderId="82" applyNumberFormat="0" applyFont="1" applyFill="1" applyBorder="1" applyAlignment="1" applyProtection="0">
      <alignment vertical="bottom"/>
    </xf>
    <xf numFmtId="0" fontId="46" fillId="10" borderId="28" applyNumberFormat="1" applyFont="1" applyFill="1" applyBorder="1" applyAlignment="1" applyProtection="0">
      <alignment horizontal="center" vertical="bottom"/>
    </xf>
    <xf numFmtId="49" fontId="37" fillId="6" borderId="60" applyNumberFormat="1" applyFont="1" applyFill="1" applyBorder="1" applyAlignment="1" applyProtection="0">
      <alignment vertical="bottom"/>
    </xf>
    <xf numFmtId="3" fontId="37" fillId="4" borderId="61" applyNumberFormat="1" applyFont="1" applyFill="1" applyBorder="1" applyAlignment="1" applyProtection="0">
      <alignment horizontal="center" vertical="bottom"/>
    </xf>
    <xf numFmtId="3" fontId="37" fillId="4" borderId="55" applyNumberFormat="1" applyFont="1" applyFill="1" applyBorder="1" applyAlignment="1" applyProtection="0">
      <alignment horizontal="center" vertical="bottom"/>
    </xf>
    <xf numFmtId="3" fontId="37" fillId="6" borderId="55" applyNumberFormat="1" applyFont="1" applyFill="1" applyBorder="1" applyAlignment="1" applyProtection="0">
      <alignment horizontal="center" vertical="bottom"/>
    </xf>
    <xf numFmtId="0" fontId="2" fillId="4" borderId="55" applyNumberFormat="0" applyFont="1" applyFill="1" applyBorder="1" applyAlignment="1" applyProtection="0">
      <alignment vertical="bottom"/>
    </xf>
    <xf numFmtId="49" fontId="2" fillId="6" borderId="62" applyNumberFormat="1" applyFont="1" applyFill="1" applyBorder="1" applyAlignment="1" applyProtection="0">
      <alignment vertical="bottom"/>
    </xf>
    <xf numFmtId="3" fontId="2" fillId="4" borderId="5" applyNumberFormat="1" applyFont="1" applyFill="1" applyBorder="1" applyAlignment="1" applyProtection="0">
      <alignment horizontal="center" vertical="bottom"/>
    </xf>
    <xf numFmtId="3" fontId="2" fillId="6" borderId="5" applyNumberFormat="1" applyFont="1" applyFill="1" applyBorder="1" applyAlignment="1" applyProtection="0">
      <alignment horizontal="center" vertical="bottom"/>
    </xf>
    <xf numFmtId="0" fontId="27" fillId="4" borderId="5" applyNumberFormat="0" applyFont="1" applyFill="1" applyBorder="1" applyAlignment="1" applyProtection="0">
      <alignment vertical="bottom"/>
    </xf>
    <xf numFmtId="3" fontId="26" fillId="4" borderId="5" applyNumberFormat="1" applyFont="1" applyFill="1" applyBorder="1" applyAlignment="1" applyProtection="0">
      <alignment horizontal="center" vertical="bottom" wrapText="1"/>
    </xf>
    <xf numFmtId="3" fontId="27" fillId="4" borderId="34" applyNumberFormat="1" applyFont="1" applyFill="1" applyBorder="1" applyAlignment="1" applyProtection="0">
      <alignment horizontal="center" vertical="bottom"/>
    </xf>
    <xf numFmtId="3" fontId="27" fillId="4" borderId="35" applyNumberFormat="1" applyFont="1" applyFill="1" applyBorder="1" applyAlignment="1" applyProtection="0">
      <alignment horizontal="center" vertical="bottom"/>
    </xf>
    <xf numFmtId="60" fontId="32" fillId="4" borderId="5" applyNumberFormat="1" applyFont="1" applyFill="1" applyBorder="1" applyAlignment="1" applyProtection="0">
      <alignment horizontal="center" vertical="bottom"/>
    </xf>
    <xf numFmtId="49" fontId="0" fillId="4" borderId="5" applyNumberFormat="1" applyFont="1" applyFill="1" applyBorder="1" applyAlignment="1" applyProtection="0">
      <alignment vertical="top"/>
    </xf>
    <xf numFmtId="0" fontId="0" fillId="4" borderId="5" applyNumberFormat="0" applyFont="1" applyFill="1" applyBorder="1" applyAlignment="1" applyProtection="0">
      <alignment vertical="top"/>
    </xf>
    <xf numFmtId="0" fontId="0" fillId="4" borderId="44" applyNumberFormat="0" applyFont="1" applyFill="1" applyBorder="1" applyAlignment="1" applyProtection="0">
      <alignment vertical="top"/>
    </xf>
    <xf numFmtId="0" fontId="0" fillId="4" borderId="19" applyNumberFormat="0" applyFont="1" applyFill="1" applyBorder="1" applyAlignment="1" applyProtection="0">
      <alignment vertical="top"/>
    </xf>
    <xf numFmtId="49" fontId="37" fillId="6" borderId="29" applyNumberFormat="1" applyFont="1" applyFill="1" applyBorder="1" applyAlignment="1" applyProtection="0">
      <alignment vertical="bottom"/>
    </xf>
    <xf numFmtId="10" fontId="27" fillId="4" borderId="5" applyNumberFormat="1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top"/>
    </xf>
    <xf numFmtId="3" fontId="0" fillId="4" borderId="6" applyNumberFormat="1" applyFont="1" applyFill="1" applyBorder="1" applyAlignment="1" applyProtection="0">
      <alignment vertical="bottom"/>
    </xf>
    <xf numFmtId="49" fontId="17" fillId="5" borderId="83" applyNumberFormat="1" applyFont="1" applyFill="1" applyBorder="1" applyAlignment="1" applyProtection="0">
      <alignment horizontal="center" vertical="bottom"/>
    </xf>
    <xf numFmtId="49" fontId="17" fillId="5" borderId="82" applyNumberFormat="1" applyFont="1" applyFill="1" applyBorder="1" applyAlignment="1" applyProtection="0">
      <alignment horizontal="center" vertical="bottom"/>
    </xf>
    <xf numFmtId="3" fontId="2" fillId="4" borderId="83" applyNumberFormat="1" applyFont="1" applyFill="1" applyBorder="1" applyAlignment="1" applyProtection="0">
      <alignment horizontal="center" vertical="bottom"/>
    </xf>
    <xf numFmtId="59" fontId="26" fillId="4" borderId="5" applyNumberFormat="1" applyFont="1" applyFill="1" applyBorder="1" applyAlignment="1" applyProtection="0">
      <alignment horizontal="center" vertical="bottom"/>
    </xf>
    <xf numFmtId="3" fontId="0" fillId="4" borderId="6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49" fillId="10" borderId="84" applyNumberFormat="1" applyFont="1" applyFill="1" applyBorder="1" applyAlignment="1" applyProtection="0">
      <alignment horizontal="center" vertical="bottom"/>
    </xf>
    <xf numFmtId="49" fontId="49" fillId="12" borderId="82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49" fontId="49" fillId="12" borderId="85" applyNumberFormat="1" applyFont="1" applyFill="1" applyBorder="1" applyAlignment="1" applyProtection="0">
      <alignment horizontal="center" vertical="bottom"/>
    </xf>
    <xf numFmtId="49" fontId="49" fillId="10" borderId="86" applyNumberFormat="1" applyFont="1" applyFill="1" applyBorder="1" applyAlignment="1" applyProtection="0">
      <alignment horizontal="center" vertical="bottom"/>
    </xf>
    <xf numFmtId="0" fontId="49" fillId="4" borderId="5" applyNumberFormat="0" applyFont="1" applyFill="1" applyBorder="1" applyAlignment="1" applyProtection="0">
      <alignment horizontal="center" vertical="bottom"/>
    </xf>
    <xf numFmtId="49" fontId="50" fillId="4" borderId="5" applyNumberFormat="1" applyFont="1" applyFill="1" applyBorder="1" applyAlignment="1" applyProtection="0">
      <alignment horizontal="center" vertical="bottom"/>
    </xf>
    <xf numFmtId="49" fontId="50" borderId="5" applyNumberFormat="1" applyFont="1" applyFill="0" applyBorder="1" applyAlignment="1" applyProtection="0">
      <alignment horizontal="center" vertical="bottom"/>
    </xf>
    <xf numFmtId="49" fontId="50" borderId="6" applyNumberFormat="1" applyFont="1" applyFill="0" applyBorder="1" applyAlignment="1" applyProtection="0">
      <alignment horizontal="center" vertical="bottom"/>
    </xf>
    <xf numFmtId="0" fontId="50" borderId="5" applyNumberFormat="1" applyFont="1" applyFill="0" applyBorder="1" applyAlignment="1" applyProtection="0">
      <alignment horizontal="center" vertical="bottom"/>
    </xf>
    <xf numFmtId="59" fontId="50" borderId="5" applyNumberFormat="1" applyFont="1" applyFill="0" applyBorder="1" applyAlignment="1" applyProtection="0">
      <alignment horizontal="center" vertical="bottom"/>
    </xf>
    <xf numFmtId="59" fontId="50" fillId="4" borderId="5" applyNumberFormat="1" applyFont="1" applyFill="1" applyBorder="1" applyAlignment="1" applyProtection="0">
      <alignment horizontal="center" vertical="bottom"/>
    </xf>
    <xf numFmtId="59" fontId="50" borderId="6" applyNumberFormat="1" applyFont="1" applyFill="0" applyBorder="1" applyAlignment="1" applyProtection="0">
      <alignment horizontal="center" vertical="bottom"/>
    </xf>
    <xf numFmtId="49" fontId="50" fillId="6" borderId="5" applyNumberFormat="1" applyFont="1" applyFill="1" applyBorder="1" applyAlignment="1" applyProtection="0">
      <alignment horizontal="left" vertical="center"/>
    </xf>
    <xf numFmtId="0" fontId="50" fillId="6" borderId="84" applyNumberFormat="1" applyFont="1" applyFill="1" applyBorder="1" applyAlignment="1" applyProtection="0">
      <alignment horizontal="center" vertical="bottom"/>
    </xf>
    <xf numFmtId="0" fontId="50" fillId="6" borderId="87" applyNumberFormat="1" applyFont="1" applyFill="1" applyBorder="1" applyAlignment="1" applyProtection="0">
      <alignment horizontal="center" vertical="bottom"/>
    </xf>
    <xf numFmtId="0" fontId="0" borderId="88" applyNumberFormat="0" applyFont="1" applyFill="0" applyBorder="1" applyAlignment="1" applyProtection="0">
      <alignment vertical="bottom"/>
    </xf>
    <xf numFmtId="0" fontId="50" fillId="6" borderId="89" applyNumberFormat="1" applyFont="1" applyFill="1" applyBorder="1" applyAlignment="1" applyProtection="0">
      <alignment horizontal="center" vertical="bottom"/>
    </xf>
    <xf numFmtId="0" fontId="50" fillId="6" borderId="88" applyNumberFormat="1" applyFont="1" applyFill="1" applyBorder="1" applyAlignment="1" applyProtection="0">
      <alignment horizontal="center" vertical="bottom"/>
    </xf>
    <xf numFmtId="0" fontId="50" fillId="6" borderId="90" applyNumberFormat="1" applyFont="1" applyFill="1" applyBorder="1" applyAlignment="1" applyProtection="0">
      <alignment horizontal="center" vertical="bottom"/>
    </xf>
    <xf numFmtId="0" fontId="50" fillId="6" borderId="5" applyNumberFormat="1" applyFont="1" applyFill="1" applyBorder="1" applyAlignment="1" applyProtection="0">
      <alignment horizontal="center" vertical="bottom"/>
    </xf>
    <xf numFmtId="0" fontId="50" fillId="4" borderId="5" applyNumberFormat="0" applyFont="1" applyFill="1" applyBorder="1" applyAlignment="1" applyProtection="0">
      <alignment horizontal="center" vertical="bottom"/>
    </xf>
    <xf numFmtId="0" fontId="50" fillId="6" borderId="91" applyNumberFormat="1" applyFont="1" applyFill="1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horizontal="center" vertical="bottom"/>
    </xf>
    <xf numFmtId="0" fontId="0" borderId="29" applyNumberFormat="0" applyFont="1" applyFill="0" applyBorder="1" applyAlignment="1" applyProtection="0">
      <alignment vertical="bottom"/>
    </xf>
    <xf numFmtId="49" fontId="50" fillId="7" borderId="5" applyNumberFormat="1" applyFont="1" applyFill="1" applyBorder="1" applyAlignment="1" applyProtection="0">
      <alignment vertical="bottom"/>
    </xf>
    <xf numFmtId="3" fontId="50" borderId="5" applyNumberFormat="1" applyFont="1" applyFill="0" applyBorder="1" applyAlignment="1" applyProtection="0">
      <alignment horizontal="center" vertical="bottom"/>
    </xf>
    <xf numFmtId="3" fontId="50" borderId="27" applyNumberFormat="1" applyFont="1" applyFill="0" applyBorder="1" applyAlignment="1" applyProtection="0">
      <alignment horizontal="center" vertical="bottom"/>
    </xf>
    <xf numFmtId="3" fontId="50" fillId="4" borderId="5" applyNumberFormat="1" applyFont="1" applyFill="1" applyBorder="1" applyAlignment="1" applyProtection="0">
      <alignment horizontal="center" vertical="bottom"/>
    </xf>
    <xf numFmtId="3" fontId="50" borderId="6" applyNumberFormat="1" applyFont="1" applyFill="0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horizontal="left" vertical="bottom"/>
    </xf>
    <xf numFmtId="3" fontId="0" borderId="5" applyNumberFormat="1" applyFont="1" applyFill="0" applyBorder="1" applyAlignment="1" applyProtection="0">
      <alignment horizontal="center" vertical="bottom"/>
    </xf>
    <xf numFmtId="3" fontId="0" borderId="27" applyNumberFormat="1" applyFont="1" applyFill="0" applyBorder="1" applyAlignment="1" applyProtection="0">
      <alignment horizontal="center" vertical="bottom"/>
    </xf>
    <xf numFmtId="3" fontId="0" fillId="4" borderId="5" applyNumberFormat="1" applyFont="1" applyFill="1" applyBorder="1" applyAlignment="1" applyProtection="0">
      <alignment horizontal="center" vertical="bottom"/>
    </xf>
    <xf numFmtId="3" fontId="0" borderId="6" applyNumberFormat="1" applyFont="1" applyFill="0" applyBorder="1" applyAlignment="1" applyProtection="0">
      <alignment horizontal="center" vertical="bottom"/>
    </xf>
    <xf numFmtId="3" fontId="0" borderId="92" applyNumberFormat="1" applyFont="1" applyFill="0" applyBorder="1" applyAlignment="1" applyProtection="0">
      <alignment horizontal="center" vertical="bottom"/>
    </xf>
    <xf numFmtId="3" fontId="0" borderId="44" applyNumberFormat="1" applyFont="1" applyFill="0" applyBorder="1" applyAlignment="1" applyProtection="0">
      <alignment horizontal="center" vertical="bottom"/>
    </xf>
    <xf numFmtId="3" fontId="0" fillId="4" borderId="44" applyNumberFormat="1" applyFont="1" applyFill="1" applyBorder="1" applyAlignment="1" applyProtection="0">
      <alignment horizontal="center" vertical="bottom"/>
    </xf>
    <xf numFmtId="3" fontId="0" borderId="93" applyNumberFormat="1" applyFont="1" applyFill="0" applyBorder="1" applyAlignment="1" applyProtection="0">
      <alignment horizontal="center" vertical="bottom"/>
    </xf>
    <xf numFmtId="49" fontId="50" borderId="11" applyNumberFormat="1" applyFont="1" applyFill="0" applyBorder="1" applyAlignment="1" applyProtection="0">
      <alignment vertical="bottom"/>
    </xf>
    <xf numFmtId="3" fontId="0" borderId="94" applyNumberFormat="1" applyFont="1" applyFill="0" applyBorder="1" applyAlignment="1" applyProtection="0">
      <alignment horizontal="center" vertical="bottom"/>
    </xf>
    <xf numFmtId="3" fontId="0" borderId="95" applyNumberFormat="1" applyFont="1" applyFill="0" applyBorder="1" applyAlignment="1" applyProtection="0">
      <alignment horizontal="center" vertical="bottom"/>
    </xf>
    <xf numFmtId="0" fontId="0" borderId="82" applyNumberFormat="0" applyFont="1" applyFill="0" applyBorder="1" applyAlignment="1" applyProtection="0">
      <alignment vertical="bottom"/>
    </xf>
    <xf numFmtId="3" fontId="0" borderId="96" applyNumberFormat="1" applyFont="1" applyFill="0" applyBorder="1" applyAlignment="1" applyProtection="0">
      <alignment horizontal="center" vertical="bottom"/>
    </xf>
    <xf numFmtId="3" fontId="0" borderId="97" applyNumberFormat="1" applyFont="1" applyFill="0" applyBorder="1" applyAlignment="1" applyProtection="0">
      <alignment horizontal="center" vertical="bottom"/>
    </xf>
    <xf numFmtId="3" fontId="0" borderId="11" applyNumberFormat="1" applyFont="1" applyFill="0" applyBorder="1" applyAlignment="1" applyProtection="0">
      <alignment horizontal="center" vertical="bottom"/>
    </xf>
    <xf numFmtId="3" fontId="0" fillId="4" borderId="96" applyNumberFormat="1" applyFont="1" applyFill="1" applyBorder="1" applyAlignment="1" applyProtection="0">
      <alignment horizontal="center" vertical="bottom"/>
    </xf>
    <xf numFmtId="3" fontId="0" fillId="4" borderId="95" applyNumberFormat="1" applyFont="1" applyFill="1" applyBorder="1" applyAlignment="1" applyProtection="0">
      <alignment horizontal="center" vertical="bottom"/>
    </xf>
    <xf numFmtId="49" fontId="50" fillId="7" borderId="20" applyNumberFormat="1" applyFont="1" applyFill="1" applyBorder="1" applyAlignment="1" applyProtection="0">
      <alignment vertical="bottom"/>
    </xf>
    <xf numFmtId="3" fontId="50" borderId="98" applyNumberFormat="1" applyFont="1" applyFill="0" applyBorder="1" applyAlignment="1" applyProtection="0">
      <alignment horizontal="center" vertical="bottom"/>
    </xf>
    <xf numFmtId="3" fontId="50" borderId="99" applyNumberFormat="1" applyFont="1" applyFill="0" applyBorder="1" applyAlignment="1" applyProtection="0">
      <alignment horizontal="center" vertical="bottom"/>
    </xf>
    <xf numFmtId="3" fontId="50" borderId="100" applyNumberFormat="1" applyFont="1" applyFill="0" applyBorder="1" applyAlignment="1" applyProtection="0">
      <alignment horizontal="center" vertical="bottom"/>
    </xf>
    <xf numFmtId="3" fontId="50" borderId="20" applyNumberFormat="1" applyFont="1" applyFill="0" applyBorder="1" applyAlignment="1" applyProtection="0">
      <alignment horizontal="center" vertical="bottom"/>
    </xf>
    <xf numFmtId="3" fontId="50" fillId="4" borderId="98" applyNumberFormat="1" applyFont="1" applyFill="1" applyBorder="1" applyAlignment="1" applyProtection="0">
      <alignment horizontal="center" vertical="bottom"/>
    </xf>
    <xf numFmtId="3" fontId="50" fillId="4" borderId="99" applyNumberFormat="1" applyFont="1" applyFill="1" applyBorder="1" applyAlignment="1" applyProtection="0">
      <alignment horizontal="center" vertical="bottom"/>
    </xf>
    <xf numFmtId="49" fontId="50" borderId="30" applyNumberFormat="1" applyFont="1" applyFill="0" applyBorder="1" applyAlignment="1" applyProtection="0">
      <alignment vertical="bottom"/>
    </xf>
    <xf numFmtId="3" fontId="50" borderId="101" applyNumberFormat="1" applyFont="1" applyFill="0" applyBorder="1" applyAlignment="1" applyProtection="0">
      <alignment vertical="bottom"/>
    </xf>
    <xf numFmtId="3" fontId="50" borderId="102" applyNumberFormat="1" applyFont="1" applyFill="0" applyBorder="1" applyAlignment="1" applyProtection="0">
      <alignment horizontal="center" vertical="bottom"/>
    </xf>
    <xf numFmtId="3" fontId="50" borderId="101" applyNumberFormat="1" applyFont="1" applyFill="0" applyBorder="1" applyAlignment="1" applyProtection="0">
      <alignment horizontal="center" vertical="bottom"/>
    </xf>
    <xf numFmtId="3" fontId="0" borderId="102" applyNumberFormat="1" applyFont="1" applyFill="0" applyBorder="1" applyAlignment="1" applyProtection="0">
      <alignment horizontal="center" vertical="bottom"/>
    </xf>
    <xf numFmtId="3" fontId="50" fillId="4" borderId="82" applyNumberFormat="1" applyFont="1" applyFill="1" applyBorder="1" applyAlignment="1" applyProtection="0">
      <alignment horizontal="center" vertical="bottom"/>
    </xf>
    <xf numFmtId="3" fontId="0" fillId="4" borderId="101" applyNumberFormat="1" applyFont="1" applyFill="1" applyBorder="1" applyAlignment="1" applyProtection="0">
      <alignment horizontal="center" vertical="bottom"/>
    </xf>
    <xf numFmtId="3" fontId="0" fillId="4" borderId="102" applyNumberFormat="1" applyFont="1" applyFill="1" applyBorder="1" applyAlignment="1" applyProtection="0">
      <alignment horizontal="center" vertical="bottom"/>
    </xf>
    <xf numFmtId="49" fontId="51" borderId="11" applyNumberFormat="1" applyFont="1" applyFill="0" applyBorder="1" applyAlignment="1" applyProtection="0">
      <alignment horizontal="left" vertical="bottom"/>
    </xf>
    <xf numFmtId="9" fontId="0" borderId="94" applyNumberFormat="1" applyFont="1" applyFill="0" applyBorder="1" applyAlignment="1" applyProtection="0">
      <alignment vertical="bottom"/>
    </xf>
    <xf numFmtId="9" fontId="0" borderId="103" applyNumberFormat="1" applyFont="1" applyFill="0" applyBorder="1" applyAlignment="1" applyProtection="0">
      <alignment horizontal="center" vertical="bottom"/>
    </xf>
    <xf numFmtId="9" fontId="0" borderId="94" applyNumberFormat="1" applyFont="1" applyFill="0" applyBorder="1" applyAlignment="1" applyProtection="0">
      <alignment horizontal="center" vertical="bottom"/>
    </xf>
    <xf numFmtId="9" fontId="0" borderId="104" applyNumberFormat="1" applyFont="1" applyFill="0" applyBorder="1" applyAlignment="1" applyProtection="0">
      <alignment horizontal="center" vertical="bottom"/>
    </xf>
    <xf numFmtId="9" fontId="0" borderId="11" applyNumberFormat="1" applyFont="1" applyFill="0" applyBorder="1" applyAlignment="1" applyProtection="0">
      <alignment horizontal="center" vertical="bottom"/>
    </xf>
    <xf numFmtId="9" fontId="0" fillId="4" borderId="5" applyNumberFormat="1" applyFont="1" applyFill="1" applyBorder="1" applyAlignment="1" applyProtection="0">
      <alignment horizontal="center" vertical="bottom"/>
    </xf>
    <xf numFmtId="9" fontId="0" fillId="4" borderId="94" applyNumberFormat="1" applyFont="1" applyFill="1" applyBorder="1" applyAlignment="1" applyProtection="0">
      <alignment horizontal="center" vertical="bottom"/>
    </xf>
    <xf numFmtId="9" fontId="0" fillId="4" borderId="103" applyNumberFormat="1" applyFont="1" applyFill="1" applyBorder="1" applyAlignment="1" applyProtection="0">
      <alignment horizontal="center" vertical="bottom"/>
    </xf>
    <xf numFmtId="3" fontId="50" borderId="98" applyNumberFormat="1" applyFont="1" applyFill="0" applyBorder="1" applyAlignment="1" applyProtection="0">
      <alignment vertical="bottom"/>
    </xf>
    <xf numFmtId="3" fontId="50" fillId="4" borderId="101" applyNumberFormat="1" applyFont="1" applyFill="1" applyBorder="1" applyAlignment="1" applyProtection="0">
      <alignment horizontal="center" vertical="bottom"/>
    </xf>
    <xf numFmtId="3" fontId="50" fillId="4" borderId="102" applyNumberFormat="1" applyFont="1" applyFill="1" applyBorder="1" applyAlignment="1" applyProtection="0">
      <alignment horizontal="center" vertical="bottom"/>
    </xf>
    <xf numFmtId="49" fontId="50" borderId="5" applyNumberFormat="1" applyFont="1" applyFill="0" applyBorder="1" applyAlignment="1" applyProtection="0">
      <alignment horizontal="left" vertical="bottom"/>
    </xf>
    <xf numFmtId="0" fontId="50" borderId="5" applyNumberFormat="0" applyFont="1" applyFill="0" applyBorder="1" applyAlignment="1" applyProtection="0">
      <alignment horizontal="center" vertical="bottom"/>
    </xf>
    <xf numFmtId="3" fontId="50" borderId="5" applyNumberFormat="1" applyFont="1" applyFill="0" applyBorder="1" applyAlignment="1" applyProtection="0">
      <alignment vertical="bottom"/>
    </xf>
    <xf numFmtId="0" fontId="50" borderId="5" applyNumberFormat="0" applyFont="1" applyFill="0" applyBorder="1" applyAlignment="1" applyProtection="0">
      <alignment vertical="bottom"/>
    </xf>
    <xf numFmtId="3" fontId="50" fillId="8" borderId="5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horizontal="left" vertical="bottom"/>
    </xf>
    <xf numFmtId="3" fontId="0" borderId="84" applyNumberFormat="1" applyFont="1" applyFill="0" applyBorder="1" applyAlignment="1" applyProtection="0">
      <alignment vertical="bottom"/>
    </xf>
    <xf numFmtId="3" fontId="0" borderId="83" applyNumberFormat="1" applyFont="1" applyFill="0" applyBorder="1" applyAlignment="1" applyProtection="0">
      <alignment horizontal="center" vertical="bottom"/>
    </xf>
    <xf numFmtId="3" fontId="0" borderId="84" applyNumberFormat="1" applyFont="1" applyFill="0" applyBorder="1" applyAlignment="1" applyProtection="0">
      <alignment horizontal="center" vertical="bottom"/>
    </xf>
    <xf numFmtId="3" fontId="0" borderId="82" applyNumberFormat="1" applyFont="1" applyFill="0" applyBorder="1" applyAlignment="1" applyProtection="0">
      <alignment horizontal="center" vertical="bottom"/>
    </xf>
    <xf numFmtId="3" fontId="51" fillId="4" borderId="5" applyNumberFormat="1" applyFont="1" applyFill="1" applyBorder="1" applyAlignment="1" applyProtection="0">
      <alignment horizontal="center" vertical="bottom"/>
    </xf>
    <xf numFmtId="3" fontId="0" borderId="5" applyNumberFormat="1" applyFont="1" applyFill="0" applyBorder="1" applyAlignment="1" applyProtection="0">
      <alignment vertical="bottom"/>
    </xf>
    <xf numFmtId="3" fontId="0" borderId="105" applyNumberFormat="1" applyFont="1" applyFill="0" applyBorder="1" applyAlignment="1" applyProtection="0">
      <alignment horizontal="center" vertical="bottom"/>
    </xf>
    <xf numFmtId="3" fontId="0" borderId="55" applyNumberFormat="1" applyFont="1" applyFill="0" applyBorder="1" applyAlignment="1" applyProtection="0">
      <alignment horizontal="center" vertical="bottom"/>
    </xf>
    <xf numFmtId="3" fontId="0" fillId="4" borderId="106" applyNumberFormat="1" applyFont="1" applyFill="1" applyBorder="1" applyAlignment="1" applyProtection="0">
      <alignment horizontal="center" vertical="bottom"/>
    </xf>
    <xf numFmtId="3" fontId="0" fillId="4" borderId="107" applyNumberFormat="1" applyFont="1" applyFill="1" applyBorder="1" applyAlignment="1" applyProtection="0">
      <alignment horizontal="center" vertical="bottom"/>
    </xf>
    <xf numFmtId="3" fontId="0" borderId="107" applyNumberFormat="1" applyFont="1" applyFill="0" applyBorder="1" applyAlignment="1" applyProtection="0">
      <alignment horizontal="center" vertical="bottom"/>
    </xf>
    <xf numFmtId="49" fontId="50" fillId="7" borderId="11" applyNumberFormat="1" applyFont="1" applyFill="1" applyBorder="1" applyAlignment="1" applyProtection="0">
      <alignment vertical="bottom"/>
    </xf>
    <xf numFmtId="3" fontId="50" borderId="94" applyNumberFormat="1" applyFont="1" applyFill="0" applyBorder="1" applyAlignment="1" applyProtection="0">
      <alignment vertical="bottom"/>
    </xf>
    <xf numFmtId="3" fontId="50" borderId="104" applyNumberFormat="1" applyFont="1" applyFill="0" applyBorder="1" applyAlignment="1" applyProtection="0">
      <alignment horizontal="center" vertical="bottom"/>
    </xf>
    <xf numFmtId="3" fontId="50" borderId="94" applyNumberFormat="1" applyFont="1" applyFill="0" applyBorder="1" applyAlignment="1" applyProtection="0">
      <alignment horizontal="center" vertical="bottom"/>
    </xf>
    <xf numFmtId="3" fontId="50" borderId="103" applyNumberFormat="1" applyFont="1" applyFill="0" applyBorder="1" applyAlignment="1" applyProtection="0">
      <alignment horizontal="center" vertical="bottom"/>
    </xf>
    <xf numFmtId="3" fontId="50" borderId="11" applyNumberFormat="1" applyFont="1" applyFill="0" applyBorder="1" applyAlignment="1" applyProtection="0">
      <alignment horizontal="center" vertical="bottom"/>
    </xf>
    <xf numFmtId="3" fontId="50" fillId="4" borderId="94" applyNumberFormat="1" applyFont="1" applyFill="1" applyBorder="1" applyAlignment="1" applyProtection="0">
      <alignment horizontal="center" vertical="bottom"/>
    </xf>
    <xf numFmtId="3" fontId="50" fillId="4" borderId="103" applyNumberFormat="1" applyFont="1" applyFill="1" applyBorder="1" applyAlignment="1" applyProtection="0">
      <alignment horizontal="center" vertical="bottom"/>
    </xf>
    <xf numFmtId="3" fontId="50" fillId="4" borderId="20" applyNumberFormat="1" applyFont="1" applyFill="1" applyBorder="1" applyAlignment="1" applyProtection="0">
      <alignment horizontal="center" vertical="bottom"/>
    </xf>
    <xf numFmtId="3" fontId="50" borderId="108" applyNumberFormat="1" applyFont="1" applyFill="0" applyBorder="1" applyAlignment="1" applyProtection="0">
      <alignment horizontal="center" vertical="bottom"/>
    </xf>
    <xf numFmtId="49" fontId="51" borderId="30" applyNumberFormat="1" applyFont="1" applyFill="0" applyBorder="1" applyAlignment="1" applyProtection="0">
      <alignment horizontal="left" vertical="bottom"/>
    </xf>
    <xf numFmtId="10" fontId="51" borderId="101" applyNumberFormat="1" applyFont="1" applyFill="0" applyBorder="1" applyAlignment="1" applyProtection="0">
      <alignment vertical="bottom"/>
    </xf>
    <xf numFmtId="10" fontId="51" borderId="109" applyNumberFormat="1" applyFont="1" applyFill="0" applyBorder="1" applyAlignment="1" applyProtection="0">
      <alignment vertical="bottom"/>
    </xf>
    <xf numFmtId="10" fontId="51" borderId="101" applyNumberFormat="1" applyFont="1" applyFill="0" applyBorder="1" applyAlignment="1" applyProtection="0">
      <alignment horizontal="center" vertical="bottom"/>
    </xf>
    <xf numFmtId="10" fontId="51" borderId="102" applyNumberFormat="1" applyFont="1" applyFill="0" applyBorder="1" applyAlignment="1" applyProtection="0">
      <alignment horizontal="center" vertical="bottom"/>
    </xf>
    <xf numFmtId="10" fontId="51" borderId="109" applyNumberFormat="1" applyFont="1" applyFill="0" applyBorder="1" applyAlignment="1" applyProtection="0">
      <alignment horizontal="center" vertical="bottom"/>
    </xf>
    <xf numFmtId="10" fontId="51" borderId="30" applyNumberFormat="1" applyFont="1" applyFill="0" applyBorder="1" applyAlignment="1" applyProtection="0">
      <alignment horizontal="center" vertical="bottom"/>
    </xf>
    <xf numFmtId="10" fontId="51" fillId="4" borderId="101" applyNumberFormat="1" applyFont="1" applyFill="1" applyBorder="1" applyAlignment="1" applyProtection="0">
      <alignment horizontal="center" vertical="bottom"/>
    </xf>
    <xf numFmtId="10" fontId="51" fillId="4" borderId="102" applyNumberFormat="1" applyFont="1" applyFill="1" applyBorder="1" applyAlignment="1" applyProtection="0">
      <alignment horizontal="center" vertical="bottom"/>
    </xf>
    <xf numFmtId="3" fontId="50" borderId="84" applyNumberFormat="1" applyFont="1" applyFill="0" applyBorder="1" applyAlignment="1" applyProtection="0">
      <alignment vertical="bottom"/>
    </xf>
    <xf numFmtId="3" fontId="50" borderId="82" applyNumberFormat="1" applyFont="1" applyFill="0" applyBorder="1" applyAlignment="1" applyProtection="0">
      <alignment horizontal="center" vertical="bottom"/>
    </xf>
    <xf numFmtId="3" fontId="50" borderId="84" applyNumberFormat="1" applyFont="1" applyFill="0" applyBorder="1" applyAlignment="1" applyProtection="0">
      <alignment horizontal="center" vertical="bottom"/>
    </xf>
    <xf numFmtId="3" fontId="50" borderId="83" applyNumberFormat="1" applyFont="1" applyFill="0" applyBorder="1" applyAlignment="1" applyProtection="0">
      <alignment horizontal="center" vertical="bottom"/>
    </xf>
    <xf numFmtId="3" fontId="50" fillId="4" borderId="84" applyNumberFormat="1" applyFont="1" applyFill="1" applyBorder="1" applyAlignment="1" applyProtection="0">
      <alignment horizontal="center" vertical="bottom"/>
    </xf>
    <xf numFmtId="3" fontId="50" fillId="4" borderId="83" applyNumberFormat="1" applyFont="1" applyFill="1" applyBorder="1" applyAlignment="1" applyProtection="0">
      <alignment horizontal="center" vertical="bottom"/>
    </xf>
    <xf numFmtId="3" fontId="0" fillId="8" borderId="84" applyNumberFormat="1" applyFont="1" applyFill="1" applyBorder="1" applyAlignment="1" applyProtection="0">
      <alignment horizontal="center" vertical="bottom"/>
    </xf>
    <xf numFmtId="64" fontId="0" borderId="82" applyNumberFormat="1" applyFont="1" applyFill="0" applyBorder="1" applyAlignment="1" applyProtection="0">
      <alignment vertical="bottom"/>
    </xf>
    <xf numFmtId="3" fontId="0" fillId="4" borderId="84" applyNumberFormat="1" applyFont="1" applyFill="1" applyBorder="1" applyAlignment="1" applyProtection="0">
      <alignment horizontal="center" vertical="bottom"/>
    </xf>
    <xf numFmtId="3" fontId="0" fillId="4" borderId="83" applyNumberFormat="1" applyFont="1" applyFill="1" applyBorder="1" applyAlignment="1" applyProtection="0">
      <alignment horizontal="center" vertical="bottom"/>
    </xf>
    <xf numFmtId="49" fontId="0" borderId="11" applyNumberFormat="1" applyFont="1" applyFill="0" applyBorder="1" applyAlignment="1" applyProtection="0">
      <alignment horizontal="left" vertical="bottom"/>
    </xf>
    <xf numFmtId="0" fontId="0" borderId="94" applyNumberFormat="1" applyFont="1" applyFill="0" applyBorder="1" applyAlignment="1" applyProtection="0">
      <alignment vertical="bottom"/>
    </xf>
    <xf numFmtId="0" fontId="0" borderId="104" applyNumberFormat="1" applyFont="1" applyFill="0" applyBorder="1" applyAlignment="1" applyProtection="0">
      <alignment horizontal="center" vertical="bottom"/>
    </xf>
    <xf numFmtId="0" fontId="0" borderId="94" applyNumberFormat="1" applyFont="1" applyFill="0" applyBorder="1" applyAlignment="1" applyProtection="0">
      <alignment horizontal="center" vertical="bottom"/>
    </xf>
    <xf numFmtId="0" fontId="0" borderId="103" applyNumberFormat="1" applyFont="1" applyFill="0" applyBorder="1" applyAlignment="1" applyProtection="0">
      <alignment horizontal="center" vertical="bottom"/>
    </xf>
    <xf numFmtId="0" fontId="0" borderId="11" applyNumberFormat="1" applyFont="1" applyFill="0" applyBorder="1" applyAlignment="1" applyProtection="0">
      <alignment horizontal="center" vertical="bottom"/>
    </xf>
    <xf numFmtId="0" fontId="0" fillId="4" borderId="94" applyNumberFormat="1" applyFont="1" applyFill="1" applyBorder="1" applyAlignment="1" applyProtection="0">
      <alignment horizontal="center" vertical="bottom"/>
    </xf>
    <xf numFmtId="0" fontId="0" fillId="4" borderId="103" applyNumberFormat="1" applyFont="1" applyFill="1" applyBorder="1" applyAlignment="1" applyProtection="0">
      <alignment horizontal="center" vertical="bottom"/>
    </xf>
    <xf numFmtId="49" fontId="0" borderId="110" applyNumberFormat="1" applyFont="1" applyFill="0" applyBorder="1" applyAlignment="1" applyProtection="0">
      <alignment vertical="bottom"/>
    </xf>
    <xf numFmtId="3" fontId="0" borderId="111" applyNumberFormat="1" applyFont="1" applyFill="0" applyBorder="1" applyAlignment="1" applyProtection="0">
      <alignment vertical="bottom"/>
    </xf>
    <xf numFmtId="3" fontId="0" borderId="112" applyNumberFormat="1" applyFont="1" applyFill="0" applyBorder="1" applyAlignment="1" applyProtection="0">
      <alignment horizontal="center" vertical="bottom"/>
    </xf>
    <xf numFmtId="3" fontId="0" borderId="111" applyNumberFormat="1" applyFont="1" applyFill="0" applyBorder="1" applyAlignment="1" applyProtection="0">
      <alignment horizontal="center" vertical="bottom"/>
    </xf>
    <xf numFmtId="3" fontId="0" borderId="113" applyNumberFormat="1" applyFont="1" applyFill="0" applyBorder="1" applyAlignment="1" applyProtection="0">
      <alignment horizontal="center" vertical="bottom"/>
    </xf>
    <xf numFmtId="3" fontId="0" borderId="110" applyNumberFormat="1" applyFont="1" applyFill="0" applyBorder="1" applyAlignment="1" applyProtection="0">
      <alignment horizontal="center" vertical="bottom"/>
    </xf>
    <xf numFmtId="3" fontId="0" fillId="4" borderId="111" applyNumberFormat="1" applyFont="1" applyFill="1" applyBorder="1" applyAlignment="1" applyProtection="0">
      <alignment horizontal="center" vertical="bottom"/>
    </xf>
    <xf numFmtId="3" fontId="0" fillId="4" borderId="113" applyNumberFormat="1" applyFont="1" applyFill="1" applyBorder="1" applyAlignment="1" applyProtection="0">
      <alignment horizontal="center" vertical="bottom"/>
    </xf>
    <xf numFmtId="0" fontId="0" borderId="30" applyNumberFormat="0" applyFont="1" applyFill="0" applyBorder="1" applyAlignment="1" applyProtection="0">
      <alignment vertical="bottom"/>
    </xf>
    <xf numFmtId="0" fontId="0" borderId="101" applyNumberFormat="0" applyFont="1" applyFill="0" applyBorder="1" applyAlignment="1" applyProtection="0">
      <alignment vertical="bottom"/>
    </xf>
    <xf numFmtId="0" fontId="0" borderId="109" applyNumberFormat="0" applyFont="1" applyFill="0" applyBorder="1" applyAlignment="1" applyProtection="0">
      <alignment vertical="bottom"/>
    </xf>
    <xf numFmtId="0" fontId="0" borderId="114" applyNumberFormat="0" applyFont="1" applyFill="0" applyBorder="1" applyAlignment="1" applyProtection="0">
      <alignment vertical="bottom"/>
    </xf>
    <xf numFmtId="0" fontId="0" borderId="8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9" fontId="0" borderId="84" applyNumberFormat="1" applyFont="1" applyFill="0" applyBorder="1" applyAlignment="1" applyProtection="0">
      <alignment vertical="bottom"/>
    </xf>
    <xf numFmtId="10" fontId="0" borderId="84" applyNumberFormat="1" applyFont="1" applyFill="0" applyBorder="1" applyAlignment="1" applyProtection="0">
      <alignment vertical="bottom"/>
    </xf>
    <xf numFmtId="0" fontId="0" borderId="64" applyNumberFormat="0" applyFont="1" applyFill="0" applyBorder="1" applyAlignment="1" applyProtection="0">
      <alignment vertical="bottom"/>
    </xf>
    <xf numFmtId="0" fontId="0" borderId="65" applyNumberFormat="0" applyFont="1" applyFill="0" applyBorder="1" applyAlignment="1" applyProtection="0">
      <alignment vertical="bottom"/>
    </xf>
    <xf numFmtId="0" fontId="0" borderId="115" applyNumberFormat="0" applyFont="1" applyFill="0" applyBorder="1" applyAlignment="1" applyProtection="0">
      <alignment vertical="bottom"/>
    </xf>
    <xf numFmtId="0" fontId="0" borderId="59" applyNumberFormat="0" applyFont="1" applyFill="0" applyBorder="1" applyAlignment="1" applyProtection="0">
      <alignment vertical="bottom"/>
    </xf>
    <xf numFmtId="0" fontId="0" borderId="44" applyNumberFormat="0" applyFont="1" applyFill="0" applyBorder="1" applyAlignment="1" applyProtection="0">
      <alignment vertical="bottom"/>
    </xf>
    <xf numFmtId="0" fontId="0" borderId="116" applyNumberFormat="0" applyFont="1" applyFill="0" applyBorder="1" applyAlignment="1" applyProtection="0">
      <alignment vertical="bottom"/>
    </xf>
    <xf numFmtId="0" fontId="0" borderId="117" applyNumberFormat="0" applyFont="1" applyFill="0" applyBorder="1" applyAlignment="1" applyProtection="0">
      <alignment vertical="bottom"/>
    </xf>
    <xf numFmtId="0" fontId="0" borderId="6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7" fontId="6" fillId="4" borderId="5" applyNumberFormat="1" applyFont="1" applyFill="1" applyBorder="1" applyAlignment="1" applyProtection="0">
      <alignment horizontal="left" vertical="bottom"/>
    </xf>
    <xf numFmtId="49" fontId="6" fillId="6" borderId="5" applyNumberFormat="1" applyFont="1" applyFill="1" applyBorder="1" applyAlignment="1" applyProtection="0">
      <alignment vertical="bottom"/>
    </xf>
    <xf numFmtId="9" fontId="14" fillId="6" borderId="5" applyNumberFormat="1" applyFont="1" applyFill="1" applyBorder="1" applyAlignment="1" applyProtection="0">
      <alignment horizontal="center" vertical="bottom"/>
    </xf>
    <xf numFmtId="0" fontId="14" fillId="6" borderId="5" applyNumberFormat="0" applyFont="1" applyFill="1" applyBorder="1" applyAlignment="1" applyProtection="0">
      <alignment horizontal="center" vertical="bottom"/>
    </xf>
    <xf numFmtId="49" fontId="52" fillId="10" borderId="5" applyNumberFormat="1" applyFont="1" applyFill="1" applyBorder="1" applyAlignment="1" applyProtection="0">
      <alignment horizontal="center" vertical="bottom"/>
    </xf>
    <xf numFmtId="65" fontId="53" fillId="4" borderId="5" applyNumberFormat="1" applyFont="1" applyFill="1" applyBorder="1" applyAlignment="1" applyProtection="0">
      <alignment horizontal="center" vertical="bottom"/>
    </xf>
    <xf numFmtId="65" fontId="53" fillId="4" borderId="5" applyNumberFormat="1" applyFont="1" applyFill="1" applyBorder="1" applyAlignment="1" applyProtection="0">
      <alignment vertical="bottom"/>
    </xf>
    <xf numFmtId="49" fontId="6" fillId="7" borderId="5" applyNumberFormat="1" applyFont="1" applyFill="1" applyBorder="1" applyAlignment="1" applyProtection="0">
      <alignment vertical="bottom"/>
    </xf>
    <xf numFmtId="0" fontId="6" fillId="4" borderId="5" applyNumberFormat="0" applyFont="1" applyFill="1" applyBorder="1" applyAlignment="1" applyProtection="0">
      <alignment vertical="bottom"/>
    </xf>
    <xf numFmtId="3" fontId="6" fillId="4" borderId="5" applyNumberFormat="1" applyFont="1" applyFill="1" applyBorder="1" applyAlignment="1" applyProtection="0">
      <alignment vertical="bottom"/>
    </xf>
    <xf numFmtId="49" fontId="7" fillId="4" borderId="11" applyNumberFormat="1" applyFont="1" applyFill="1" applyBorder="1" applyAlignment="1" applyProtection="0">
      <alignment horizontal="left" vertical="bottom"/>
    </xf>
    <xf numFmtId="3" fontId="7" fillId="4" borderId="11" applyNumberFormat="1" applyFont="1" applyFill="1" applyBorder="1" applyAlignment="1" applyProtection="0">
      <alignment horizontal="center" vertical="bottom"/>
    </xf>
    <xf numFmtId="9" fontId="54" fillId="4" borderId="5" applyNumberFormat="1" applyFont="1" applyFill="1" applyBorder="1" applyAlignment="1" applyProtection="0">
      <alignment horizontal="center" vertical="bottom"/>
    </xf>
    <xf numFmtId="3" fontId="0" fillId="4" borderId="11" applyNumberFormat="1" applyFont="1" applyFill="1" applyBorder="1" applyAlignment="1" applyProtection="0">
      <alignment vertical="bottom"/>
    </xf>
    <xf numFmtId="9" fontId="0" fillId="4" borderId="6" applyNumberFormat="1" applyFont="1" applyFill="1" applyBorder="1" applyAlignment="1" applyProtection="0">
      <alignment vertical="bottom"/>
    </xf>
    <xf numFmtId="49" fontId="6" fillId="7" borderId="20" applyNumberFormat="1" applyFont="1" applyFill="1" applyBorder="1" applyAlignment="1" applyProtection="0">
      <alignment vertical="bottom"/>
    </xf>
    <xf numFmtId="3" fontId="6" fillId="4" borderId="20" applyNumberFormat="1" applyFont="1" applyFill="1" applyBorder="1" applyAlignment="1" applyProtection="0">
      <alignment horizontal="center" vertical="bottom"/>
    </xf>
    <xf numFmtId="9" fontId="55" fillId="4" borderId="5" applyNumberFormat="1" applyFont="1" applyFill="1" applyBorder="1" applyAlignment="1" applyProtection="0">
      <alignment horizontal="center" vertical="bottom"/>
    </xf>
    <xf numFmtId="3" fontId="6" fillId="4" borderId="20" applyNumberFormat="1" applyFont="1" applyFill="1" applyBorder="1" applyAlignment="1" applyProtection="0">
      <alignment vertical="bottom"/>
    </xf>
    <xf numFmtId="9" fontId="6" fillId="4" borderId="6" applyNumberFormat="1" applyFont="1" applyFill="1" applyBorder="1" applyAlignment="1" applyProtection="0">
      <alignment vertical="bottom"/>
    </xf>
    <xf numFmtId="49" fontId="7" fillId="4" borderId="110" applyNumberFormat="1" applyFont="1" applyFill="1" applyBorder="1" applyAlignment="1" applyProtection="0">
      <alignment horizontal="left" vertical="bottom"/>
    </xf>
    <xf numFmtId="3" fontId="7" fillId="4" borderId="110" applyNumberFormat="1" applyFont="1" applyFill="1" applyBorder="1" applyAlignment="1" applyProtection="0">
      <alignment horizontal="center" vertical="bottom"/>
    </xf>
    <xf numFmtId="3" fontId="0" fillId="4" borderId="110" applyNumberFormat="1" applyFont="1" applyFill="1" applyBorder="1" applyAlignment="1" applyProtection="0">
      <alignment vertical="bottom"/>
    </xf>
    <xf numFmtId="3" fontId="0" fillId="4" borderId="30" applyNumberFormat="1" applyFont="1" applyFill="1" applyBorder="1" applyAlignment="1" applyProtection="0">
      <alignment vertical="bottom"/>
    </xf>
    <xf numFmtId="0" fontId="7" fillId="4" borderId="30" applyNumberFormat="0" applyFont="1" applyFill="1" applyBorder="1" applyAlignment="1" applyProtection="0">
      <alignment horizontal="left" vertical="bottom"/>
    </xf>
    <xf numFmtId="61" fontId="0" fillId="4" borderId="6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center"/>
    </xf>
    <xf numFmtId="0" fontId="0" fillId="4" borderId="2" applyNumberFormat="0" applyFont="1" applyFill="1" applyBorder="1" applyAlignment="1" applyProtection="0">
      <alignment vertical="center"/>
    </xf>
    <xf numFmtId="0" fontId="0" fillId="4" borderId="3" applyNumberFormat="0" applyFont="1" applyFill="1" applyBorder="1" applyAlignment="1" applyProtection="0">
      <alignment vertical="center"/>
    </xf>
    <xf numFmtId="0" fontId="0" fillId="4" borderId="4" applyNumberFormat="0" applyFont="1" applyFill="1" applyBorder="1" applyAlignment="1" applyProtection="0">
      <alignment vertical="center"/>
    </xf>
    <xf numFmtId="0" fontId="0" fillId="4" borderId="5" applyNumberFormat="0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0" fontId="56" fillId="4" borderId="5" applyNumberFormat="0" applyFont="1" applyFill="1" applyBorder="1" applyAlignment="1" applyProtection="0">
      <alignment horizontal="left" vertical="center"/>
    </xf>
    <xf numFmtId="49" fontId="56" fillId="4" borderId="5" applyNumberFormat="1" applyFont="1" applyFill="1" applyBorder="1" applyAlignment="1" applyProtection="0">
      <alignment horizontal="left" vertical="center"/>
    </xf>
    <xf numFmtId="15" fontId="57" fillId="4" borderId="5" applyNumberFormat="1" applyFont="1" applyFill="1" applyBorder="1" applyAlignment="1" applyProtection="0">
      <alignment horizontal="right" vertical="bottom"/>
    </xf>
    <xf numFmtId="0" fontId="0" fillId="4" borderId="11" applyNumberFormat="0" applyFont="1" applyFill="1" applyBorder="1" applyAlignment="1" applyProtection="0">
      <alignment vertical="center"/>
    </xf>
    <xf numFmtId="0" fontId="0" fillId="4" borderId="118" applyNumberFormat="0" applyFont="1" applyFill="1" applyBorder="1" applyAlignment="1" applyProtection="0">
      <alignment vertical="center"/>
    </xf>
    <xf numFmtId="49" fontId="58" fillId="4" borderId="4" applyNumberFormat="1" applyFont="1" applyFill="1" applyBorder="1" applyAlignment="1" applyProtection="0">
      <alignment horizontal="right" vertical="center"/>
    </xf>
    <xf numFmtId="0" fontId="59" fillId="13" borderId="5" applyNumberFormat="0" applyFont="1" applyFill="1" applyBorder="1" applyAlignment="1" applyProtection="0">
      <alignment vertical="center"/>
    </xf>
    <xf numFmtId="49" fontId="59" fillId="13" borderId="5" applyNumberFormat="1" applyFont="1" applyFill="1" applyBorder="1" applyAlignment="1" applyProtection="0">
      <alignment vertical="center"/>
    </xf>
    <xf numFmtId="49" fontId="58" fillId="4" borderId="6" applyNumberFormat="1" applyFont="1" applyFill="1" applyBorder="1" applyAlignment="1" applyProtection="0">
      <alignment vertical="center"/>
    </xf>
    <xf numFmtId="49" fontId="59" fillId="14" borderId="5" applyNumberFormat="1" applyFont="1" applyFill="1" applyBorder="1" applyAlignment="1" applyProtection="0">
      <alignment horizontal="center" vertical="center"/>
    </xf>
    <xf numFmtId="0" fontId="60" fillId="4" borderId="5" applyNumberFormat="1" applyFont="1" applyFill="1" applyBorder="1" applyAlignment="1" applyProtection="0">
      <alignment horizontal="center" vertical="center"/>
    </xf>
    <xf numFmtId="49" fontId="60" fillId="4" borderId="5" applyNumberFormat="1" applyFont="1" applyFill="1" applyBorder="1" applyAlignment="1" applyProtection="0">
      <alignment horizontal="center" vertical="center"/>
    </xf>
    <xf numFmtId="0" fontId="60" fillId="15" borderId="5" applyNumberFormat="1" applyFont="1" applyFill="1" applyBorder="1" applyAlignment="1" applyProtection="0">
      <alignment horizontal="center" vertical="center"/>
    </xf>
    <xf numFmtId="49" fontId="60" fillId="15" borderId="5" applyNumberFormat="1" applyFont="1" applyFill="1" applyBorder="1" applyAlignment="1" applyProtection="0">
      <alignment horizontal="center" vertical="center"/>
    </xf>
    <xf numFmtId="0" fontId="0" fillId="4" borderId="64" applyNumberFormat="0" applyFont="1" applyFill="1" applyBorder="1" applyAlignment="1" applyProtection="0">
      <alignment vertical="center"/>
    </xf>
    <xf numFmtId="0" fontId="0" fillId="4" borderId="65" applyNumberFormat="0" applyFont="1" applyFill="1" applyBorder="1" applyAlignment="1" applyProtection="0">
      <alignment vertical="center"/>
    </xf>
    <xf numFmtId="0" fontId="60" fillId="4" borderId="65" applyNumberFormat="1" applyFont="1" applyFill="1" applyBorder="1" applyAlignment="1" applyProtection="0">
      <alignment horizontal="center" vertical="center"/>
    </xf>
    <xf numFmtId="49" fontId="60" fillId="4" borderId="65" applyNumberFormat="1" applyFont="1" applyFill="1" applyBorder="1" applyAlignment="1" applyProtection="0">
      <alignment horizontal="center" vertical="center"/>
    </xf>
    <xf numFmtId="0" fontId="0" fillId="4" borderId="66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bfbfbf"/>
      <rgbColor rgb="ff0a3041"/>
      <rgbColor rgb="ffd8d8d8"/>
      <rgbColor rgb="fff2f2f2"/>
      <rgbColor rgb="ffff0000"/>
      <rgbColor rgb="fffae2d5"/>
      <rgbColor rgb="ffdbedd5"/>
      <rgbColor rgb="ff0e2841"/>
      <rgbColor rgb="ffffff00"/>
      <rgbColor rgb="ffa5a5a5"/>
      <rgbColor rgb="ff3f3f3f"/>
      <rgbColor rgb="ff595959"/>
      <rgbColor rgb="ff275317"/>
      <rgbColor rgb="ff12501b"/>
      <rgbColor rgb="ff0c3512"/>
      <rgbColor rgb="ffe8e8e8"/>
      <rgbColor rgb="ff003399"/>
      <rgbColor rgb="ffeaea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Faturamento Total</a:t>
            </a:r>
          </a:p>
        </c:rich>
      </c:tx>
      <c:layout>
        <c:manualLayout>
          <c:xMode val="edge"/>
          <c:yMode val="edge"/>
          <c:x val="0.450642"/>
          <c:y val="0"/>
          <c:w val="0.0987165"/>
          <c:h val="0.22374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36155"/>
          <c:y val="0.223742"/>
          <c:w val="0.908449"/>
          <c:h val="0.503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'Acompanhamento Mar26 (2)'!$B$43:$C$43</c:f>
              <c:strCache/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(2)'!$D$42:$P$42</c:f>
              <c:strCache>
                <c:ptCount val="0"/>
              </c:strCache>
            </c:strRef>
          </c:cat>
          <c:val>
            <c:numRef>
              <c:f>'Acompanhamento Mar26 (2)'!$D$43:$P$43</c:f>
              <c:numCache>
                <c:ptCount val="0"/>
              </c:numCache>
            </c:numRef>
          </c:val>
        </c:ser>
        <c:ser>
          <c:idx val="2"/>
          <c:order val="1"/>
          <c:tx>
            <c:strRef>
              <c:f>'Acompanhamento Mar26 (2)'!$B$45:$C$45</c:f>
              <c:strCache/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(2)'!$D$42:$P$42</c:f>
              <c:strCache>
                <c:ptCount val="0"/>
              </c:strCache>
            </c:strRef>
          </c:cat>
          <c:val>
            <c:numRef>
              <c:f>'Acompanhamento Mar26 (2)'!$D$45:$P$45</c:f>
              <c:numCache>
                <c:ptCount val="0"/>
              </c:numCache>
            </c:numRef>
          </c:val>
        </c:ser>
        <c:ser>
          <c:idx val="3"/>
          <c:order val="2"/>
          <c:tx>
            <c:strRef>
              <c:f>'Acompanhamento Mar26 (2)'!$B$46:$C$46</c:f>
              <c:strCache/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(2)'!$D$42:$P$42</c:f>
              <c:strCache>
                <c:ptCount val="0"/>
              </c:strCache>
            </c:strRef>
          </c:cat>
          <c:val>
            <c:numRef>
              <c:f>'Acompanhamento Mar26 (2)'!$D$46:$P$46</c:f>
              <c:numCache>
                <c:ptCount val="0"/>
              </c:numCache>
            </c:numRef>
          </c:val>
        </c:ser>
        <c:gapWidth val="150"/>
        <c:overlap val="0"/>
        <c:axId val="2094734552"/>
        <c:axId val="2094734553"/>
      </c:barChart>
      <c:lineChart>
        <c:grouping val="standard"/>
        <c:varyColors val="0"/>
        <c:ser>
          <c:idx val="1"/>
          <c:order val="3"/>
          <c:tx>
            <c:strRef>
              <c:f>'Acompanhamento Mar26 (2)'!$B$44:$C$44</c:f>
              <c:strCache/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(2)'!$D$42:$P$42</c:f>
              <c:strCache>
                <c:ptCount val="0"/>
              </c:strCache>
            </c:strRef>
          </c:cat>
          <c:val>
            <c:numRef>
              <c:f>'Acompanhamento Mar26 (2)'!$D$44:$P$44</c:f>
              <c:numCache>
                <c:ptCount val="0"/>
              </c:numCache>
            </c:numRef>
          </c:val>
          <c:smooth val="0"/>
        </c:ser>
        <c:ser>
          <c:idx val="4"/>
          <c:order val="4"/>
          <c:tx>
            <c:strRef>
              <c:f>'Acompanhamento Mar26 (2)'!$B$47:$C$47</c:f>
              <c:strCache/>
            </c:strRef>
          </c:tx>
          <c:spPr>
            <a:noFill/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9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(2)'!$D$42:$P$42</c:f>
              <c:strCache>
                <c:ptCount val="0"/>
              </c:strCache>
            </c:strRef>
          </c:cat>
          <c:val>
            <c:numRef>
              <c:f>'Acompanhamento Mar26 (2)'!$D$47:$P$47</c:f>
              <c:numCache>
                <c:ptCount val="0"/>
              </c:numCache>
            </c:numRef>
          </c:val>
          <c:smooth val="0"/>
        </c:ser>
        <c:marker val="1"/>
        <c:axId val="2094734555"/>
        <c:axId val="2094734556"/>
      </c:lineChart>
      <c:catAx>
        <c:axId val="2094734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5e+06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.25e+06"/>
        <c:minorUnit val="625000"/>
      </c:valAx>
      <c:catAx>
        <c:axId val="2094734555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round/>
          </a:ln>
        </c:spPr>
        <c:crossAx val="2094734556"/>
        <c:crosses val="autoZero"/>
        <c:auto val="1"/>
        <c:lblAlgn val="ctr"/>
        <c:noMultiLvlLbl val="1"/>
      </c:catAx>
      <c:valAx>
        <c:axId val="20947345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5"/>
        <c:crosses val="max"/>
        <c:crossBetween val="between"/>
        <c:majorUnit val="7.5e+06"/>
        <c:minorUnit val="3.75e+06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89312"/>
          <c:y val="0.899602"/>
          <c:w val="0.421377"/>
          <c:h val="0.10039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Faturamento Total x Realizado Faturamento Total</a:t>
            </a:r>
          </a:p>
        </c:rich>
      </c:tx>
      <c:layout>
        <c:manualLayout>
          <c:xMode val="edge"/>
          <c:yMode val="edge"/>
          <c:x val="0.342051"/>
          <c:y val="0"/>
          <c:w val="0.315898"/>
          <c:h val="0.10345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48483"/>
          <c:y val="0.103454"/>
          <c:w val="0.960152"/>
          <c:h val="0.763597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(2)'!$U$8:$AY$8</c:f>
              <c:numCache>
                <c:ptCount val="31"/>
                <c:pt idx="0">
                  <c:v>46426.110000</c:v>
                </c:pt>
                <c:pt idx="1">
                  <c:v>30935.490000</c:v>
                </c:pt>
                <c:pt idx="2">
                  <c:v>43473.530000</c:v>
                </c:pt>
                <c:pt idx="3">
                  <c:v>42587.270000</c:v>
                </c:pt>
                <c:pt idx="4">
                  <c:v>42358.320000</c:v>
                </c:pt>
                <c:pt idx="5">
                  <c:v>49202.110000</c:v>
                </c:pt>
                <c:pt idx="6">
                  <c:v>56046.070000</c:v>
                </c:pt>
                <c:pt idx="7">
                  <c:v>49789.300000</c:v>
                </c:pt>
                <c:pt idx="8">
                  <c:v>32538.160000</c:v>
                </c:pt>
                <c:pt idx="9">
                  <c:v>43699.930000</c:v>
                </c:pt>
                <c:pt idx="10">
                  <c:v>41690.000000</c:v>
                </c:pt>
                <c:pt idx="11">
                  <c:v>46329.080000</c:v>
                </c:pt>
                <c:pt idx="12">
                  <c:v>62008.800000</c:v>
                </c:pt>
                <c:pt idx="13">
                  <c:v>72757.960000</c:v>
                </c:pt>
                <c:pt idx="14">
                  <c:v>53898.150000</c:v>
                </c:pt>
                <c:pt idx="15">
                  <c:v>38417.000000</c:v>
                </c:pt>
                <c:pt idx="16">
                  <c:v>39221.000000</c:v>
                </c:pt>
                <c:pt idx="17">
                  <c:v>51440.000000</c:v>
                </c:pt>
                <c:pt idx="18">
                  <c:v>45234.000000</c:v>
                </c:pt>
                <c:pt idx="19">
                  <c:v>58052.000000</c:v>
                </c:pt>
                <c:pt idx="20">
                  <c:v>66982.000000</c:v>
                </c:pt>
                <c:pt idx="21">
                  <c:v>55652.000000</c:v>
                </c:pt>
                <c:pt idx="22">
                  <c:v>37445.440000</c:v>
                </c:pt>
                <c:pt idx="23">
                  <c:v>45686.910000</c:v>
                </c:pt>
                <c:pt idx="24">
                  <c:v>44942.000000</c:v>
                </c:pt>
                <c:pt idx="25">
                  <c:v>42992.510000</c:v>
                </c:pt>
                <c:pt idx="26">
                  <c:v>49382.330000</c:v>
                </c:pt>
                <c:pt idx="27">
                  <c:v>67237.370000</c:v>
                </c:pt>
                <c:pt idx="28">
                  <c:v>51970.350000</c:v>
                </c:pt>
                <c:pt idx="29">
                  <c:v>37778.000000</c:v>
                </c:pt>
                <c:pt idx="30">
                  <c:v>47414.130000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(2)'!$T$17</c:f>
              <c:strCache>
                <c:ptCount val="1"/>
                <c:pt idx="0">
                  <c:v>Meta Total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(2)'!$U$17:$AY$17</c:f>
              <c:numCache>
                <c:ptCount val="31"/>
                <c:pt idx="0">
                  <c:v>59928.446685</c:v>
                </c:pt>
                <c:pt idx="1">
                  <c:v>59928.446685</c:v>
                </c:pt>
                <c:pt idx="2">
                  <c:v>59928.446685</c:v>
                </c:pt>
                <c:pt idx="3">
                  <c:v>59928.446685</c:v>
                </c:pt>
                <c:pt idx="4">
                  <c:v>59928.446685</c:v>
                </c:pt>
                <c:pt idx="5">
                  <c:v>59928.446685</c:v>
                </c:pt>
                <c:pt idx="6">
                  <c:v>59928.446685</c:v>
                </c:pt>
                <c:pt idx="7">
                  <c:v>59928.446685</c:v>
                </c:pt>
                <c:pt idx="8">
                  <c:v>59928.446685</c:v>
                </c:pt>
                <c:pt idx="9">
                  <c:v>59928.446685</c:v>
                </c:pt>
                <c:pt idx="10">
                  <c:v>59928.446685</c:v>
                </c:pt>
                <c:pt idx="11">
                  <c:v>59928.446685</c:v>
                </c:pt>
                <c:pt idx="12">
                  <c:v>59928.446685</c:v>
                </c:pt>
                <c:pt idx="13">
                  <c:v>59928.446685</c:v>
                </c:pt>
                <c:pt idx="14">
                  <c:v>59928.446685</c:v>
                </c:pt>
                <c:pt idx="15">
                  <c:v>59928.446685</c:v>
                </c:pt>
                <c:pt idx="16">
                  <c:v>59928.446685</c:v>
                </c:pt>
                <c:pt idx="17">
                  <c:v>59928.446685</c:v>
                </c:pt>
                <c:pt idx="18">
                  <c:v>59928.446685</c:v>
                </c:pt>
                <c:pt idx="19">
                  <c:v>59928.446685</c:v>
                </c:pt>
                <c:pt idx="20">
                  <c:v>59928.446685</c:v>
                </c:pt>
                <c:pt idx="21">
                  <c:v>59928.446685</c:v>
                </c:pt>
                <c:pt idx="22">
                  <c:v>59928.446685</c:v>
                </c:pt>
                <c:pt idx="23">
                  <c:v>59928.446685</c:v>
                </c:pt>
                <c:pt idx="24">
                  <c:v>59928.446685</c:v>
                </c:pt>
                <c:pt idx="25">
                  <c:v>59928.446685</c:v>
                </c:pt>
                <c:pt idx="26">
                  <c:v>59928.446685</c:v>
                </c:pt>
                <c:pt idx="27">
                  <c:v>59928.446685</c:v>
                </c:pt>
                <c:pt idx="28">
                  <c:v>59928.446685</c:v>
                </c:pt>
                <c:pt idx="29">
                  <c:v>59928.446685</c:v>
                </c:pt>
                <c:pt idx="30">
                  <c:v>59928.446685</c:v>
                </c:pt>
              </c:numCache>
            </c:numRef>
          </c:val>
          <c:smooth val="0"/>
        </c:ser>
        <c:ser>
          <c:idx val="2"/>
          <c:order val="2"/>
          <c:tx>
            <c:v>Series3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(2)'!$U$26:$AY$26</c:f>
              <c:numCache>
                <c:ptCount val="31"/>
                <c:pt idx="0">
                  <c:v>48180.236129</c:v>
                </c:pt>
                <c:pt idx="1">
                  <c:v>48180.236129</c:v>
                </c:pt>
                <c:pt idx="2">
                  <c:v>48180.236129</c:v>
                </c:pt>
                <c:pt idx="3">
                  <c:v>48180.236129</c:v>
                </c:pt>
                <c:pt idx="4">
                  <c:v>48180.236129</c:v>
                </c:pt>
                <c:pt idx="5">
                  <c:v>48180.236129</c:v>
                </c:pt>
                <c:pt idx="6">
                  <c:v>48180.236129</c:v>
                </c:pt>
                <c:pt idx="7">
                  <c:v>48180.236129</c:v>
                </c:pt>
                <c:pt idx="8">
                  <c:v>48180.236129</c:v>
                </c:pt>
                <c:pt idx="9">
                  <c:v>48180.236129</c:v>
                </c:pt>
                <c:pt idx="10">
                  <c:v>48180.236129</c:v>
                </c:pt>
                <c:pt idx="11">
                  <c:v>48180.236129</c:v>
                </c:pt>
                <c:pt idx="12">
                  <c:v>48180.236129</c:v>
                </c:pt>
                <c:pt idx="13">
                  <c:v>48180.236129</c:v>
                </c:pt>
                <c:pt idx="14">
                  <c:v>48180.236129</c:v>
                </c:pt>
                <c:pt idx="15">
                  <c:v>48180.236129</c:v>
                </c:pt>
                <c:pt idx="16">
                  <c:v>48180.236129</c:v>
                </c:pt>
                <c:pt idx="17">
                  <c:v>48180.236129</c:v>
                </c:pt>
                <c:pt idx="18">
                  <c:v>48180.236129</c:v>
                </c:pt>
                <c:pt idx="19">
                  <c:v>48180.236129</c:v>
                </c:pt>
                <c:pt idx="20">
                  <c:v>48180.236129</c:v>
                </c:pt>
                <c:pt idx="21">
                  <c:v>48180.236129</c:v>
                </c:pt>
                <c:pt idx="22">
                  <c:v>48180.236129</c:v>
                </c:pt>
                <c:pt idx="23">
                  <c:v>48180.236129</c:v>
                </c:pt>
                <c:pt idx="24">
                  <c:v>48180.236129</c:v>
                </c:pt>
                <c:pt idx="25">
                  <c:v>48180.236129</c:v>
                </c:pt>
                <c:pt idx="26">
                  <c:v>48180.236129</c:v>
                </c:pt>
                <c:pt idx="27">
                  <c:v>48180.236129</c:v>
                </c:pt>
                <c:pt idx="28">
                  <c:v>48180.236129</c:v>
                </c:pt>
                <c:pt idx="29">
                  <c:v>48180.236129</c:v>
                </c:pt>
                <c:pt idx="30">
                  <c:v>48180.236129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0000"/>
        <c:minorUnit val="100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95005"/>
          <c:y val="0.946858"/>
          <c:w val="0.214206"/>
          <c:h val="0.053142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Delivery x Realizado Delivery</a:t>
            </a:r>
          </a:p>
        </c:rich>
      </c:tx>
      <c:layout>
        <c:manualLayout>
          <c:xMode val="edge"/>
          <c:yMode val="edge"/>
          <c:x val="0.402224"/>
          <c:y val="0"/>
          <c:w val="0.195552"/>
          <c:h val="0.15105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297478"/>
          <c:y val="0.151051"/>
          <c:w val="0.965252"/>
          <c:h val="0.660582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(2)'!$U$11:$AY$11</c:f>
              <c:numCache>
                <c:ptCount val="31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  <c:pt idx="12">
                  <c:v>0.000000</c:v>
                </c:pt>
                <c:pt idx="13">
                  <c:v>527.990000</c:v>
                </c:pt>
                <c:pt idx="14">
                  <c:v>213.780000</c:v>
                </c:pt>
                <c:pt idx="15">
                  <c:v>333.560000</c:v>
                </c:pt>
                <c:pt idx="16">
                  <c:v>0.000000</c:v>
                </c:pt>
                <c:pt idx="17">
                  <c:v>0.000000</c:v>
                </c:pt>
                <c:pt idx="18">
                  <c:v>1043.000000</c:v>
                </c:pt>
                <c:pt idx="19">
                  <c:v>3997.000000</c:v>
                </c:pt>
                <c:pt idx="20">
                  <c:v>4362.000000</c:v>
                </c:pt>
                <c:pt idx="21">
                  <c:v>5414.000000</c:v>
                </c:pt>
                <c:pt idx="22">
                  <c:v>3282.340000</c:v>
                </c:pt>
                <c:pt idx="23">
                  <c:v>2961.200000</c:v>
                </c:pt>
                <c:pt idx="24">
                  <c:v>2968.090000</c:v>
                </c:pt>
                <c:pt idx="25">
                  <c:v>2913.870000</c:v>
                </c:pt>
                <c:pt idx="26">
                  <c:v>3651.220000</c:v>
                </c:pt>
                <c:pt idx="27">
                  <c:v>3429.200000</c:v>
                </c:pt>
                <c:pt idx="28">
                  <c:v>5408.420000</c:v>
                </c:pt>
                <c:pt idx="29">
                  <c:v>8865.960000</c:v>
                </c:pt>
                <c:pt idx="30">
                  <c:v>3058.000000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(2)'!$T$17</c:f>
              <c:strCache>
                <c:ptCount val="1"/>
                <c:pt idx="0">
                  <c:v>Meta Total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(2)'!$U$20:$AY$20</c:f>
              <c:numCache>
                <c:ptCount val="31"/>
                <c:pt idx="0">
                  <c:v>4838.709677</c:v>
                </c:pt>
                <c:pt idx="1">
                  <c:v>4838.709677</c:v>
                </c:pt>
                <c:pt idx="2">
                  <c:v>4838.709677</c:v>
                </c:pt>
                <c:pt idx="3">
                  <c:v>4838.709677</c:v>
                </c:pt>
                <c:pt idx="4">
                  <c:v>4838.709677</c:v>
                </c:pt>
                <c:pt idx="5">
                  <c:v>4838.709677</c:v>
                </c:pt>
                <c:pt idx="6">
                  <c:v>4838.709677</c:v>
                </c:pt>
                <c:pt idx="7">
                  <c:v>4838.709677</c:v>
                </c:pt>
                <c:pt idx="8">
                  <c:v>4838.709677</c:v>
                </c:pt>
                <c:pt idx="9">
                  <c:v>4838.709677</c:v>
                </c:pt>
                <c:pt idx="10">
                  <c:v>4838.709677</c:v>
                </c:pt>
                <c:pt idx="11">
                  <c:v>4838.709677</c:v>
                </c:pt>
                <c:pt idx="12">
                  <c:v>4838.709677</c:v>
                </c:pt>
                <c:pt idx="13">
                  <c:v>4838.709677</c:v>
                </c:pt>
                <c:pt idx="14">
                  <c:v>4838.709677</c:v>
                </c:pt>
                <c:pt idx="15">
                  <c:v>4838.709677</c:v>
                </c:pt>
                <c:pt idx="16">
                  <c:v>4838.709677</c:v>
                </c:pt>
                <c:pt idx="17">
                  <c:v>4838.709677</c:v>
                </c:pt>
                <c:pt idx="18">
                  <c:v>4838.709677</c:v>
                </c:pt>
                <c:pt idx="19">
                  <c:v>4838.709677</c:v>
                </c:pt>
                <c:pt idx="20">
                  <c:v>4838.709677</c:v>
                </c:pt>
                <c:pt idx="21">
                  <c:v>4838.709677</c:v>
                </c:pt>
                <c:pt idx="22">
                  <c:v>4838.709677</c:v>
                </c:pt>
                <c:pt idx="23">
                  <c:v>4838.709677</c:v>
                </c:pt>
                <c:pt idx="24">
                  <c:v>4838.709677</c:v>
                </c:pt>
                <c:pt idx="25">
                  <c:v>4838.709677</c:v>
                </c:pt>
                <c:pt idx="26">
                  <c:v>4838.709677</c:v>
                </c:pt>
                <c:pt idx="27">
                  <c:v>4838.709677</c:v>
                </c:pt>
                <c:pt idx="28">
                  <c:v>4838.709677</c:v>
                </c:pt>
                <c:pt idx="29">
                  <c:v>4838.709677</c:v>
                </c:pt>
                <c:pt idx="30">
                  <c:v>4838.709677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'Acompanhamento Mar26 (2)'!$AH$20</c:f>
              <c:strCache>
                <c:ptCount val="1"/>
                <c:pt idx="0">
                  <c:v>4.839</c:v>
                </c:pt>
              </c:strCache>
            </c:strRef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(2)'!$U$29:$AY$29</c:f>
              <c:numCache>
                <c:ptCount val="31"/>
                <c:pt idx="0">
                  <c:v>1691.278387</c:v>
                </c:pt>
                <c:pt idx="1">
                  <c:v>1691.278387</c:v>
                </c:pt>
                <c:pt idx="2">
                  <c:v>1691.278387</c:v>
                </c:pt>
                <c:pt idx="3">
                  <c:v>1691.278387</c:v>
                </c:pt>
                <c:pt idx="4">
                  <c:v>1691.278387</c:v>
                </c:pt>
                <c:pt idx="5">
                  <c:v>1691.278387</c:v>
                </c:pt>
                <c:pt idx="6">
                  <c:v>1691.278387</c:v>
                </c:pt>
                <c:pt idx="7">
                  <c:v>1691.278387</c:v>
                </c:pt>
                <c:pt idx="8">
                  <c:v>1691.278387</c:v>
                </c:pt>
                <c:pt idx="9">
                  <c:v>1691.278387</c:v>
                </c:pt>
                <c:pt idx="10">
                  <c:v>1691.278387</c:v>
                </c:pt>
                <c:pt idx="11">
                  <c:v>1691.278387</c:v>
                </c:pt>
                <c:pt idx="12">
                  <c:v>1691.278387</c:v>
                </c:pt>
                <c:pt idx="13">
                  <c:v>1691.278387</c:v>
                </c:pt>
                <c:pt idx="14">
                  <c:v>1691.278387</c:v>
                </c:pt>
                <c:pt idx="15">
                  <c:v>1691.278387</c:v>
                </c:pt>
                <c:pt idx="16">
                  <c:v>1691.278387</c:v>
                </c:pt>
                <c:pt idx="17">
                  <c:v>1691.278387</c:v>
                </c:pt>
                <c:pt idx="18">
                  <c:v>1691.278387</c:v>
                </c:pt>
                <c:pt idx="19">
                  <c:v>1691.278387</c:v>
                </c:pt>
                <c:pt idx="20">
                  <c:v>1691.278387</c:v>
                </c:pt>
                <c:pt idx="21">
                  <c:v>1691.278387</c:v>
                </c:pt>
                <c:pt idx="22">
                  <c:v>1691.278387</c:v>
                </c:pt>
                <c:pt idx="23">
                  <c:v>1691.278387</c:v>
                </c:pt>
                <c:pt idx="24">
                  <c:v>1691.278387</c:v>
                </c:pt>
                <c:pt idx="25">
                  <c:v>1691.278387</c:v>
                </c:pt>
                <c:pt idx="26">
                  <c:v>1691.278387</c:v>
                </c:pt>
                <c:pt idx="27">
                  <c:v>1691.278387</c:v>
                </c:pt>
                <c:pt idx="28">
                  <c:v>1691.278387</c:v>
                </c:pt>
                <c:pt idx="29">
                  <c:v>1691.278387</c:v>
                </c:pt>
                <c:pt idx="30">
                  <c:v>1691.278387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250"/>
        <c:minorUnit val="11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0564"/>
          <c:y val="0.928158"/>
          <c:w val="0.203369"/>
          <c:h val="0.071841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Paiva x Realizado Paiva</a:t>
            </a:r>
          </a:p>
        </c:rich>
      </c:tx>
      <c:layout>
        <c:manualLayout>
          <c:xMode val="edge"/>
          <c:yMode val="edge"/>
          <c:x val="0.41495"/>
          <c:y val="0"/>
          <c:w val="0.170101"/>
          <c:h val="0.15566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47795"/>
          <c:y val="0.155663"/>
          <c:w val="0.960221"/>
          <c:h val="0.650602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(2)'!$U$10:$AY$10</c:f>
              <c:numCache>
                <c:ptCount val="31"/>
                <c:pt idx="0">
                  <c:v>11560.010000</c:v>
                </c:pt>
                <c:pt idx="1">
                  <c:v>0.000000</c:v>
                </c:pt>
                <c:pt idx="2">
                  <c:v>5441.870000</c:v>
                </c:pt>
                <c:pt idx="3">
                  <c:v>5012.110000</c:v>
                </c:pt>
                <c:pt idx="4">
                  <c:v>5419.180000</c:v>
                </c:pt>
                <c:pt idx="5">
                  <c:v>17059.000000</c:v>
                </c:pt>
                <c:pt idx="6">
                  <c:v>14323.220000</c:v>
                </c:pt>
                <c:pt idx="7">
                  <c:v>16709.100000</c:v>
                </c:pt>
                <c:pt idx="8">
                  <c:v>0.000000</c:v>
                </c:pt>
                <c:pt idx="9">
                  <c:v>6032.910000</c:v>
                </c:pt>
                <c:pt idx="10">
                  <c:v>3653.530000</c:v>
                </c:pt>
                <c:pt idx="11">
                  <c:v>4577.410000</c:v>
                </c:pt>
                <c:pt idx="12">
                  <c:v>11764.740000</c:v>
                </c:pt>
                <c:pt idx="13">
                  <c:v>16143.660000</c:v>
                </c:pt>
                <c:pt idx="14">
                  <c:v>15979.610000</c:v>
                </c:pt>
                <c:pt idx="15">
                  <c:v>0.000000</c:v>
                </c:pt>
                <c:pt idx="16">
                  <c:v>2687.730000</c:v>
                </c:pt>
                <c:pt idx="17">
                  <c:v>5884.990000</c:v>
                </c:pt>
                <c:pt idx="18">
                  <c:v>5980.660000</c:v>
                </c:pt>
                <c:pt idx="19">
                  <c:v>8835.860000</c:v>
                </c:pt>
                <c:pt idx="20">
                  <c:v>14871.690000</c:v>
                </c:pt>
                <c:pt idx="21">
                  <c:v>15669.790000</c:v>
                </c:pt>
                <c:pt idx="22">
                  <c:v>0.000000</c:v>
                </c:pt>
                <c:pt idx="23">
                  <c:v>5414.420000</c:v>
                </c:pt>
                <c:pt idx="24">
                  <c:v>4829.040000</c:v>
                </c:pt>
                <c:pt idx="25">
                  <c:v>5532.280000</c:v>
                </c:pt>
                <c:pt idx="26">
                  <c:v>8690.870000</c:v>
                </c:pt>
                <c:pt idx="27">
                  <c:v>22294.670000</c:v>
                </c:pt>
                <c:pt idx="28">
                  <c:v>17889.850000</c:v>
                </c:pt>
                <c:pt idx="29">
                  <c:v>0.000000</c:v>
                </c:pt>
                <c:pt idx="30">
                  <c:v>6109.940000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(2)'!$T$17</c:f>
              <c:strCache>
                <c:ptCount val="1"/>
                <c:pt idx="0">
                  <c:v>Meta Total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(2)'!$U$19:$AY$19</c:f>
              <c:numCache>
                <c:ptCount val="31"/>
                <c:pt idx="0">
                  <c:v>12193.548387</c:v>
                </c:pt>
                <c:pt idx="1">
                  <c:v>12193.548387</c:v>
                </c:pt>
                <c:pt idx="2">
                  <c:v>12193.548387</c:v>
                </c:pt>
                <c:pt idx="3">
                  <c:v>12193.548387</c:v>
                </c:pt>
                <c:pt idx="4">
                  <c:v>12193.548387</c:v>
                </c:pt>
                <c:pt idx="5">
                  <c:v>12193.548387</c:v>
                </c:pt>
                <c:pt idx="6">
                  <c:v>12193.548387</c:v>
                </c:pt>
                <c:pt idx="7">
                  <c:v>12193.548387</c:v>
                </c:pt>
                <c:pt idx="8">
                  <c:v>12193.548387</c:v>
                </c:pt>
                <c:pt idx="9">
                  <c:v>12193.548387</c:v>
                </c:pt>
                <c:pt idx="10">
                  <c:v>12193.548387</c:v>
                </c:pt>
                <c:pt idx="11">
                  <c:v>12193.548387</c:v>
                </c:pt>
                <c:pt idx="12">
                  <c:v>12193.548387</c:v>
                </c:pt>
                <c:pt idx="13">
                  <c:v>12193.548387</c:v>
                </c:pt>
                <c:pt idx="14">
                  <c:v>12193.548387</c:v>
                </c:pt>
                <c:pt idx="15">
                  <c:v>12193.548387</c:v>
                </c:pt>
                <c:pt idx="16">
                  <c:v>12193.548387</c:v>
                </c:pt>
                <c:pt idx="17">
                  <c:v>12193.548387</c:v>
                </c:pt>
                <c:pt idx="18">
                  <c:v>12193.548387</c:v>
                </c:pt>
                <c:pt idx="19">
                  <c:v>12193.548387</c:v>
                </c:pt>
                <c:pt idx="20">
                  <c:v>12193.548387</c:v>
                </c:pt>
                <c:pt idx="21">
                  <c:v>12193.548387</c:v>
                </c:pt>
                <c:pt idx="22">
                  <c:v>12193.548387</c:v>
                </c:pt>
                <c:pt idx="23">
                  <c:v>12193.548387</c:v>
                </c:pt>
                <c:pt idx="24">
                  <c:v>12193.548387</c:v>
                </c:pt>
                <c:pt idx="25">
                  <c:v>12193.548387</c:v>
                </c:pt>
                <c:pt idx="26">
                  <c:v>12193.548387</c:v>
                </c:pt>
                <c:pt idx="27">
                  <c:v>12193.548387</c:v>
                </c:pt>
                <c:pt idx="28">
                  <c:v>12193.548387</c:v>
                </c:pt>
                <c:pt idx="29">
                  <c:v>12193.548387</c:v>
                </c:pt>
                <c:pt idx="30">
                  <c:v>12193.548387</c:v>
                </c:pt>
              </c:numCache>
            </c:numRef>
          </c:val>
          <c:smooth val="0"/>
        </c:ser>
        <c:ser>
          <c:idx val="2"/>
          <c:order val="2"/>
          <c:tx>
            <c:v>Média Paiva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(2)'!$U$28:$AY$28</c:f>
              <c:numCache>
                <c:ptCount val="31"/>
                <c:pt idx="0">
                  <c:v>8334.456129</c:v>
                </c:pt>
                <c:pt idx="1">
                  <c:v>8334.456129</c:v>
                </c:pt>
                <c:pt idx="2">
                  <c:v>8334.456129</c:v>
                </c:pt>
                <c:pt idx="3">
                  <c:v>8334.456129</c:v>
                </c:pt>
                <c:pt idx="4">
                  <c:v>8334.456129</c:v>
                </c:pt>
                <c:pt idx="5">
                  <c:v>8334.456129</c:v>
                </c:pt>
                <c:pt idx="6">
                  <c:v>8334.456129</c:v>
                </c:pt>
                <c:pt idx="7">
                  <c:v>8334.456129</c:v>
                </c:pt>
                <c:pt idx="8">
                  <c:v>8334.456129</c:v>
                </c:pt>
                <c:pt idx="9">
                  <c:v>8334.456129</c:v>
                </c:pt>
                <c:pt idx="10">
                  <c:v>8334.456129</c:v>
                </c:pt>
                <c:pt idx="11">
                  <c:v>8334.456129</c:v>
                </c:pt>
                <c:pt idx="12">
                  <c:v>8334.456129</c:v>
                </c:pt>
                <c:pt idx="13">
                  <c:v>8334.456129</c:v>
                </c:pt>
                <c:pt idx="14">
                  <c:v>8334.456129</c:v>
                </c:pt>
                <c:pt idx="15">
                  <c:v>8334.456129</c:v>
                </c:pt>
                <c:pt idx="16">
                  <c:v>8334.456129</c:v>
                </c:pt>
                <c:pt idx="17">
                  <c:v>8334.456129</c:v>
                </c:pt>
                <c:pt idx="18">
                  <c:v>8334.456129</c:v>
                </c:pt>
                <c:pt idx="19">
                  <c:v>8334.456129</c:v>
                </c:pt>
                <c:pt idx="20">
                  <c:v>8334.456129</c:v>
                </c:pt>
                <c:pt idx="21">
                  <c:v>8334.456129</c:v>
                </c:pt>
                <c:pt idx="22">
                  <c:v>8334.456129</c:v>
                </c:pt>
                <c:pt idx="23">
                  <c:v>8334.456129</c:v>
                </c:pt>
                <c:pt idx="24">
                  <c:v>8334.456129</c:v>
                </c:pt>
                <c:pt idx="25">
                  <c:v>8334.456129</c:v>
                </c:pt>
                <c:pt idx="26">
                  <c:v>8334.456129</c:v>
                </c:pt>
                <c:pt idx="27">
                  <c:v>8334.456129</c:v>
                </c:pt>
                <c:pt idx="28">
                  <c:v>8334.456129</c:v>
                </c:pt>
                <c:pt idx="29">
                  <c:v>8334.456129</c:v>
                </c:pt>
                <c:pt idx="30">
                  <c:v>8334.456129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7500"/>
        <c:minorUnit val="37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86535"/>
          <c:y val="0.926347"/>
          <c:w val="0.23117"/>
          <c:h val="0.073653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Rio Mar x Realizado Rio Mar</a:t>
            </a:r>
          </a:p>
        </c:rich>
      </c:tx>
      <c:layout>
        <c:manualLayout>
          <c:xMode val="edge"/>
          <c:yMode val="edge"/>
          <c:x val="0.402798"/>
          <c:y val="0"/>
          <c:w val="0.194405"/>
          <c:h val="0.11445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45521"/>
          <c:y val="0.114452"/>
          <c:w val="0.960448"/>
          <c:h val="0.739793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(2)'!$U$9:$AY$9</c:f>
              <c:numCache>
                <c:ptCount val="31"/>
                <c:pt idx="0">
                  <c:v>30767.610000</c:v>
                </c:pt>
                <c:pt idx="1">
                  <c:v>26666.830000</c:v>
                </c:pt>
                <c:pt idx="2">
                  <c:v>30408.130000</c:v>
                </c:pt>
                <c:pt idx="3">
                  <c:v>30625.000000</c:v>
                </c:pt>
                <c:pt idx="4">
                  <c:v>31085.680000</c:v>
                </c:pt>
                <c:pt idx="5">
                  <c:v>25861.940000</c:v>
                </c:pt>
                <c:pt idx="6">
                  <c:v>37316.810000</c:v>
                </c:pt>
                <c:pt idx="7">
                  <c:v>27971.260000</c:v>
                </c:pt>
                <c:pt idx="8">
                  <c:v>26817.410000</c:v>
                </c:pt>
                <c:pt idx="9">
                  <c:v>29473.350000</c:v>
                </c:pt>
                <c:pt idx="10">
                  <c:v>30667.450000</c:v>
                </c:pt>
                <c:pt idx="11">
                  <c:v>34396.580000</c:v>
                </c:pt>
                <c:pt idx="12">
                  <c:v>39670.350000</c:v>
                </c:pt>
                <c:pt idx="13">
                  <c:v>45007.840000</c:v>
                </c:pt>
                <c:pt idx="14">
                  <c:v>32449.790000</c:v>
                </c:pt>
                <c:pt idx="15">
                  <c:v>32285.780000</c:v>
                </c:pt>
                <c:pt idx="16">
                  <c:v>30311.640000</c:v>
                </c:pt>
                <c:pt idx="17">
                  <c:v>38897.500000</c:v>
                </c:pt>
                <c:pt idx="18">
                  <c:v>29851.570000</c:v>
                </c:pt>
                <c:pt idx="19">
                  <c:v>32593.310000</c:v>
                </c:pt>
                <c:pt idx="20">
                  <c:v>32379.490000</c:v>
                </c:pt>
                <c:pt idx="21">
                  <c:v>25788.270000</c:v>
                </c:pt>
                <c:pt idx="22">
                  <c:v>29131.290000</c:v>
                </c:pt>
                <c:pt idx="23">
                  <c:v>29746.770000</c:v>
                </c:pt>
                <c:pt idx="24">
                  <c:v>28802.020000</c:v>
                </c:pt>
                <c:pt idx="25">
                  <c:v>27299.780000</c:v>
                </c:pt>
                <c:pt idx="26">
                  <c:v>29767.850000</c:v>
                </c:pt>
                <c:pt idx="27">
                  <c:v>31166.660000</c:v>
                </c:pt>
                <c:pt idx="28">
                  <c:v>24375.080000</c:v>
                </c:pt>
                <c:pt idx="29">
                  <c:v>21289.000000</c:v>
                </c:pt>
                <c:pt idx="30">
                  <c:v>31191.720000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(2)'!$T$17</c:f>
              <c:strCache>
                <c:ptCount val="1"/>
                <c:pt idx="0">
                  <c:v>Meta Total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(2)'!$U$18:$AY$18</c:f>
              <c:numCache>
                <c:ptCount val="31"/>
                <c:pt idx="0">
                  <c:v>36291.349911</c:v>
                </c:pt>
                <c:pt idx="1">
                  <c:v>36291.349911</c:v>
                </c:pt>
                <c:pt idx="2">
                  <c:v>36291.349911</c:v>
                </c:pt>
                <c:pt idx="3">
                  <c:v>36291.349911</c:v>
                </c:pt>
                <c:pt idx="4">
                  <c:v>36291.349911</c:v>
                </c:pt>
                <c:pt idx="5">
                  <c:v>36291.349911</c:v>
                </c:pt>
                <c:pt idx="6">
                  <c:v>36291.349911</c:v>
                </c:pt>
                <c:pt idx="7">
                  <c:v>36291.349911</c:v>
                </c:pt>
                <c:pt idx="8">
                  <c:v>36291.349911</c:v>
                </c:pt>
                <c:pt idx="9">
                  <c:v>36291.349911</c:v>
                </c:pt>
                <c:pt idx="10">
                  <c:v>36291.349911</c:v>
                </c:pt>
                <c:pt idx="11">
                  <c:v>36291.349911</c:v>
                </c:pt>
                <c:pt idx="12">
                  <c:v>36291.349911</c:v>
                </c:pt>
                <c:pt idx="13">
                  <c:v>36291.349911</c:v>
                </c:pt>
                <c:pt idx="14">
                  <c:v>36291.349911</c:v>
                </c:pt>
                <c:pt idx="15">
                  <c:v>36291.349911</c:v>
                </c:pt>
                <c:pt idx="16">
                  <c:v>36291.349911</c:v>
                </c:pt>
                <c:pt idx="17">
                  <c:v>36291.349911</c:v>
                </c:pt>
                <c:pt idx="18">
                  <c:v>36291.349911</c:v>
                </c:pt>
                <c:pt idx="19">
                  <c:v>36291.349911</c:v>
                </c:pt>
                <c:pt idx="20">
                  <c:v>36291.349911</c:v>
                </c:pt>
                <c:pt idx="21">
                  <c:v>36291.349911</c:v>
                </c:pt>
                <c:pt idx="22">
                  <c:v>36291.349911</c:v>
                </c:pt>
                <c:pt idx="23">
                  <c:v>36291.349911</c:v>
                </c:pt>
                <c:pt idx="24">
                  <c:v>36291.349911</c:v>
                </c:pt>
                <c:pt idx="25">
                  <c:v>36291.349911</c:v>
                </c:pt>
                <c:pt idx="26">
                  <c:v>36291.349911</c:v>
                </c:pt>
                <c:pt idx="27">
                  <c:v>36291.349911</c:v>
                </c:pt>
                <c:pt idx="28">
                  <c:v>36291.349911</c:v>
                </c:pt>
                <c:pt idx="29">
                  <c:v>36291.349911</c:v>
                </c:pt>
                <c:pt idx="30">
                  <c:v>36291.349911</c:v>
                </c:pt>
              </c:numCache>
            </c:numRef>
          </c:val>
          <c:smooth val="0"/>
        </c:ser>
        <c:ser>
          <c:idx val="2"/>
          <c:order val="2"/>
          <c:tx>
            <c:v>Média Rio Mar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(2)'!$U$27:$AY$27</c:f>
              <c:numCache>
                <c:ptCount val="31"/>
                <c:pt idx="0">
                  <c:v>30776.250323</c:v>
                </c:pt>
                <c:pt idx="1">
                  <c:v>30776.250323</c:v>
                </c:pt>
                <c:pt idx="2">
                  <c:v>30776.250323</c:v>
                </c:pt>
                <c:pt idx="3">
                  <c:v>30776.250323</c:v>
                </c:pt>
                <c:pt idx="4">
                  <c:v>30776.250323</c:v>
                </c:pt>
                <c:pt idx="5">
                  <c:v>30776.250323</c:v>
                </c:pt>
                <c:pt idx="6">
                  <c:v>30776.250323</c:v>
                </c:pt>
                <c:pt idx="7">
                  <c:v>30776.250323</c:v>
                </c:pt>
                <c:pt idx="8">
                  <c:v>30776.250323</c:v>
                </c:pt>
                <c:pt idx="9">
                  <c:v>30776.250323</c:v>
                </c:pt>
                <c:pt idx="10">
                  <c:v>30776.250323</c:v>
                </c:pt>
                <c:pt idx="11">
                  <c:v>30776.250323</c:v>
                </c:pt>
                <c:pt idx="12">
                  <c:v>30776.250323</c:v>
                </c:pt>
                <c:pt idx="13">
                  <c:v>30776.250323</c:v>
                </c:pt>
                <c:pt idx="14">
                  <c:v>30776.250323</c:v>
                </c:pt>
                <c:pt idx="15">
                  <c:v>30776.250323</c:v>
                </c:pt>
                <c:pt idx="16">
                  <c:v>30776.250323</c:v>
                </c:pt>
                <c:pt idx="17">
                  <c:v>30776.250323</c:v>
                </c:pt>
                <c:pt idx="18">
                  <c:v>30776.250323</c:v>
                </c:pt>
                <c:pt idx="19">
                  <c:v>30776.250323</c:v>
                </c:pt>
                <c:pt idx="20">
                  <c:v>30776.250323</c:v>
                </c:pt>
                <c:pt idx="21">
                  <c:v>30776.250323</c:v>
                </c:pt>
                <c:pt idx="22">
                  <c:v>30776.250323</c:v>
                </c:pt>
                <c:pt idx="23">
                  <c:v>30776.250323</c:v>
                </c:pt>
                <c:pt idx="24">
                  <c:v>30776.250323</c:v>
                </c:pt>
                <c:pt idx="25">
                  <c:v>30776.250323</c:v>
                </c:pt>
                <c:pt idx="26">
                  <c:v>30776.250323</c:v>
                </c:pt>
                <c:pt idx="27">
                  <c:v>30776.250323</c:v>
                </c:pt>
                <c:pt idx="28">
                  <c:v>30776.250323</c:v>
                </c:pt>
                <c:pt idx="29">
                  <c:v>30776.250323</c:v>
                </c:pt>
                <c:pt idx="30">
                  <c:v>30776.250323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1000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0000"/>
        <c:minorUnit val="50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83246"/>
          <c:y val="0.942537"/>
          <c:w val="0.237828"/>
          <c:h val="0.05746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Cabanga x Realizado Cabanga</a:t>
            </a:r>
          </a:p>
        </c:rich>
      </c:tx>
      <c:layout>
        <c:manualLayout>
          <c:xMode val="edge"/>
          <c:yMode val="edge"/>
          <c:x val="0.396333"/>
          <c:y val="0"/>
          <c:w val="0.207335"/>
          <c:h val="0.15105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298199"/>
          <c:y val="0.151051"/>
          <c:w val="0.96518"/>
          <c:h val="0.660582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(2)'!$T$12</c:f>
              <c:strCache>
                <c:ptCount val="1"/>
                <c:pt idx="0">
                  <c:v>Cabanga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(2)'!$U$12:$AY$12</c:f>
              <c:numCache>
                <c:ptCount val="31"/>
                <c:pt idx="0">
                  <c:v>1146.410000</c:v>
                </c:pt>
                <c:pt idx="1">
                  <c:v>1232.630000</c:v>
                </c:pt>
                <c:pt idx="2">
                  <c:v>1832.050000</c:v>
                </c:pt>
                <c:pt idx="3">
                  <c:v>1312.230000</c:v>
                </c:pt>
                <c:pt idx="4">
                  <c:v>710.550000</c:v>
                </c:pt>
                <c:pt idx="5">
                  <c:v>2302.620000</c:v>
                </c:pt>
                <c:pt idx="6">
                  <c:v>897.430000</c:v>
                </c:pt>
                <c:pt idx="7">
                  <c:v>1038.000000</c:v>
                </c:pt>
                <c:pt idx="8">
                  <c:v>1722.770000</c:v>
                </c:pt>
                <c:pt idx="9">
                  <c:v>1910.980000</c:v>
                </c:pt>
                <c:pt idx="10">
                  <c:v>2194.630000</c:v>
                </c:pt>
                <c:pt idx="11">
                  <c:v>2061.750000</c:v>
                </c:pt>
                <c:pt idx="12">
                  <c:v>2388.890000</c:v>
                </c:pt>
                <c:pt idx="13">
                  <c:v>7295.930000</c:v>
                </c:pt>
                <c:pt idx="14">
                  <c:v>2247.920000</c:v>
                </c:pt>
                <c:pt idx="15">
                  <c:v>1166.020000</c:v>
                </c:pt>
                <c:pt idx="16">
                  <c:v>1134.390000</c:v>
                </c:pt>
                <c:pt idx="17">
                  <c:v>1187.610000</c:v>
                </c:pt>
                <c:pt idx="18">
                  <c:v>1293.620000</c:v>
                </c:pt>
                <c:pt idx="19">
                  <c:v>1786.180000</c:v>
                </c:pt>
                <c:pt idx="20">
                  <c:v>2991.090000</c:v>
                </c:pt>
                <c:pt idx="21">
                  <c:v>1668.170000</c:v>
                </c:pt>
                <c:pt idx="22">
                  <c:v>1276.640000</c:v>
                </c:pt>
                <c:pt idx="23">
                  <c:v>1339.510000</c:v>
                </c:pt>
                <c:pt idx="24">
                  <c:v>1224.630000</c:v>
                </c:pt>
                <c:pt idx="25">
                  <c:v>1469.850000</c:v>
                </c:pt>
                <c:pt idx="26">
                  <c:v>2244.540000</c:v>
                </c:pt>
                <c:pt idx="27">
                  <c:v>5290.350000</c:v>
                </c:pt>
                <c:pt idx="28">
                  <c:v>926.370000</c:v>
                </c:pt>
                <c:pt idx="29">
                  <c:v>1025.400000</c:v>
                </c:pt>
                <c:pt idx="30">
                  <c:v>1157.470000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(2)'!$T$21</c:f>
              <c:strCache>
                <c:ptCount val="1"/>
                <c:pt idx="0">
                  <c:v>Meta Cabanga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(2)'!$U$21:$AX$21</c:f>
              <c:numCache>
                <c:ptCount val="30"/>
                <c:pt idx="0">
                  <c:v>1815.000000</c:v>
                </c:pt>
                <c:pt idx="1">
                  <c:v>1815.000000</c:v>
                </c:pt>
                <c:pt idx="2">
                  <c:v>1815.000000</c:v>
                </c:pt>
                <c:pt idx="3">
                  <c:v>1815.000000</c:v>
                </c:pt>
                <c:pt idx="4">
                  <c:v>1815.000000</c:v>
                </c:pt>
                <c:pt idx="5">
                  <c:v>1815.000000</c:v>
                </c:pt>
                <c:pt idx="6">
                  <c:v>1815.000000</c:v>
                </c:pt>
                <c:pt idx="7">
                  <c:v>1815.000000</c:v>
                </c:pt>
                <c:pt idx="8">
                  <c:v>1815.000000</c:v>
                </c:pt>
                <c:pt idx="9">
                  <c:v>1815.000000</c:v>
                </c:pt>
                <c:pt idx="10">
                  <c:v>1815.000000</c:v>
                </c:pt>
                <c:pt idx="11">
                  <c:v>1815.000000</c:v>
                </c:pt>
                <c:pt idx="12">
                  <c:v>1815.000000</c:v>
                </c:pt>
                <c:pt idx="13">
                  <c:v>1815.000000</c:v>
                </c:pt>
                <c:pt idx="14">
                  <c:v>1815.000000</c:v>
                </c:pt>
                <c:pt idx="15">
                  <c:v>1815.000000</c:v>
                </c:pt>
                <c:pt idx="16">
                  <c:v>1815.000000</c:v>
                </c:pt>
                <c:pt idx="17">
                  <c:v>1815.000000</c:v>
                </c:pt>
                <c:pt idx="18">
                  <c:v>1815.000000</c:v>
                </c:pt>
                <c:pt idx="19">
                  <c:v>1815.000000</c:v>
                </c:pt>
                <c:pt idx="20">
                  <c:v>1815.000000</c:v>
                </c:pt>
                <c:pt idx="21">
                  <c:v>1815.000000</c:v>
                </c:pt>
                <c:pt idx="22">
                  <c:v>1815.000000</c:v>
                </c:pt>
                <c:pt idx="23">
                  <c:v>1815.000000</c:v>
                </c:pt>
                <c:pt idx="24">
                  <c:v>1815.000000</c:v>
                </c:pt>
                <c:pt idx="25">
                  <c:v>1815.000000</c:v>
                </c:pt>
                <c:pt idx="26">
                  <c:v>1815.000000</c:v>
                </c:pt>
                <c:pt idx="27">
                  <c:v>1815.000000</c:v>
                </c:pt>
                <c:pt idx="28">
                  <c:v>1815.000000</c:v>
                </c:pt>
                <c:pt idx="29">
                  <c:v>1815.000000</c:v>
                </c:pt>
              </c:numCache>
            </c:numRef>
          </c:val>
          <c:smooth val="0"/>
        </c:ser>
        <c:ser>
          <c:idx val="2"/>
          <c:order val="2"/>
          <c:tx>
            <c:v>Média Cabanga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(2)'!$U$30:$AY$30</c:f>
              <c:numCache>
                <c:ptCount val="31"/>
                <c:pt idx="0">
                  <c:v>1854.084839</c:v>
                </c:pt>
                <c:pt idx="1">
                  <c:v>1854.084839</c:v>
                </c:pt>
                <c:pt idx="2">
                  <c:v>1854.084839</c:v>
                </c:pt>
                <c:pt idx="3">
                  <c:v>1854.084839</c:v>
                </c:pt>
                <c:pt idx="4">
                  <c:v>1854.084839</c:v>
                </c:pt>
                <c:pt idx="5">
                  <c:v>1854.084839</c:v>
                </c:pt>
                <c:pt idx="6">
                  <c:v>1854.084839</c:v>
                </c:pt>
                <c:pt idx="7">
                  <c:v>1854.084839</c:v>
                </c:pt>
                <c:pt idx="8">
                  <c:v>1854.084839</c:v>
                </c:pt>
                <c:pt idx="9">
                  <c:v>1854.084839</c:v>
                </c:pt>
                <c:pt idx="10">
                  <c:v>1854.084839</c:v>
                </c:pt>
                <c:pt idx="11">
                  <c:v>1854.084839</c:v>
                </c:pt>
                <c:pt idx="12">
                  <c:v>1854.084839</c:v>
                </c:pt>
                <c:pt idx="13">
                  <c:v>1854.084839</c:v>
                </c:pt>
                <c:pt idx="14">
                  <c:v>1854.084839</c:v>
                </c:pt>
                <c:pt idx="15">
                  <c:v>1854.084839</c:v>
                </c:pt>
                <c:pt idx="16">
                  <c:v>1854.084839</c:v>
                </c:pt>
                <c:pt idx="17">
                  <c:v>1854.084839</c:v>
                </c:pt>
                <c:pt idx="18">
                  <c:v>1854.084839</c:v>
                </c:pt>
                <c:pt idx="19">
                  <c:v>1854.084839</c:v>
                </c:pt>
                <c:pt idx="20">
                  <c:v>1854.084839</c:v>
                </c:pt>
                <c:pt idx="21">
                  <c:v>1854.084839</c:v>
                </c:pt>
                <c:pt idx="22">
                  <c:v>1854.084839</c:v>
                </c:pt>
                <c:pt idx="23">
                  <c:v>1854.084839</c:v>
                </c:pt>
                <c:pt idx="24">
                  <c:v>1854.084839</c:v>
                </c:pt>
                <c:pt idx="25">
                  <c:v>1854.084839</c:v>
                </c:pt>
                <c:pt idx="26">
                  <c:v>1854.084839</c:v>
                </c:pt>
                <c:pt idx="27">
                  <c:v>1854.084839</c:v>
                </c:pt>
                <c:pt idx="28">
                  <c:v>1854.084839</c:v>
                </c:pt>
                <c:pt idx="29">
                  <c:v>1854.084839</c:v>
                </c:pt>
                <c:pt idx="30">
                  <c:v>1854.084839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000"/>
        <c:minorUnit val="10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85088"/>
          <c:y val="0.928158"/>
          <c:w val="0.234292"/>
          <c:h val="0.071841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Velocity x Realizado Velocity</a:t>
            </a:r>
          </a:p>
        </c:rich>
      </c:tx>
      <c:layout>
        <c:manualLayout>
          <c:xMode val="edge"/>
          <c:yMode val="edge"/>
          <c:x val="0.402405"/>
          <c:y val="0"/>
          <c:w val="0.19519"/>
          <c:h val="0.1509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01215"/>
          <c:y val="0.15094"/>
          <c:w val="0.964878"/>
          <c:h val="0.660822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(2)'!$T$13</c:f>
              <c:strCache>
                <c:ptCount val="1"/>
                <c:pt idx="0">
                  <c:v>Velocity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(2)'!$U$13:$AY$13</c:f>
              <c:numCache>
                <c:ptCount val="31"/>
                <c:pt idx="0">
                  <c:v>1656.250000</c:v>
                </c:pt>
                <c:pt idx="1">
                  <c:v>1368.530000</c:v>
                </c:pt>
                <c:pt idx="2">
                  <c:v>1612.290000</c:v>
                </c:pt>
                <c:pt idx="3">
                  <c:v>1520.520000</c:v>
                </c:pt>
                <c:pt idx="4">
                  <c:v>2241.760000</c:v>
                </c:pt>
                <c:pt idx="5">
                  <c:v>1775.700000</c:v>
                </c:pt>
                <c:pt idx="6">
                  <c:v>1724.000000</c:v>
                </c:pt>
                <c:pt idx="7">
                  <c:v>2488.970000</c:v>
                </c:pt>
                <c:pt idx="8">
                  <c:v>1773.840000</c:v>
                </c:pt>
                <c:pt idx="9">
                  <c:v>2755.360000</c:v>
                </c:pt>
                <c:pt idx="10">
                  <c:v>2135.460000</c:v>
                </c:pt>
                <c:pt idx="11">
                  <c:v>2615.990000</c:v>
                </c:pt>
                <c:pt idx="12">
                  <c:v>2785.200000</c:v>
                </c:pt>
                <c:pt idx="13">
                  <c:v>1592.470000</c:v>
                </c:pt>
                <c:pt idx="14">
                  <c:v>1398.700000</c:v>
                </c:pt>
                <c:pt idx="15">
                  <c:v>1741.790000</c:v>
                </c:pt>
                <c:pt idx="16">
                  <c:v>2316.010000</c:v>
                </c:pt>
                <c:pt idx="17">
                  <c:v>2297.930000</c:v>
                </c:pt>
                <c:pt idx="18">
                  <c:v>3027.540000</c:v>
                </c:pt>
                <c:pt idx="19">
                  <c:v>2380.110000</c:v>
                </c:pt>
                <c:pt idx="20">
                  <c:v>1669.060000</c:v>
                </c:pt>
                <c:pt idx="21">
                  <c:v>2190.490000</c:v>
                </c:pt>
                <c:pt idx="22">
                  <c:v>1721.090000</c:v>
                </c:pt>
                <c:pt idx="23">
                  <c:v>2443.040000</c:v>
                </c:pt>
                <c:pt idx="24">
                  <c:v>1678.770000</c:v>
                </c:pt>
                <c:pt idx="25">
                  <c:v>1431.610000</c:v>
                </c:pt>
                <c:pt idx="26">
                  <c:v>2795.840000</c:v>
                </c:pt>
                <c:pt idx="27">
                  <c:v>1595.750000</c:v>
                </c:pt>
                <c:pt idx="28">
                  <c:v>1506.790000</c:v>
                </c:pt>
                <c:pt idx="29">
                  <c:v>3734.250000</c:v>
                </c:pt>
                <c:pt idx="30">
                  <c:v>2123.460000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(2)'!$T$22</c:f>
              <c:strCache>
                <c:ptCount val="1"/>
                <c:pt idx="0">
                  <c:v>Meta Velocity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(2)'!$U$22:$AY$22</c:f>
              <c:numCache>
                <c:ptCount val="31"/>
                <c:pt idx="0">
                  <c:v>1694.000000</c:v>
                </c:pt>
                <c:pt idx="1">
                  <c:v>1694.000000</c:v>
                </c:pt>
                <c:pt idx="2">
                  <c:v>1694.000000</c:v>
                </c:pt>
                <c:pt idx="3">
                  <c:v>1694.000000</c:v>
                </c:pt>
                <c:pt idx="4">
                  <c:v>1694.000000</c:v>
                </c:pt>
                <c:pt idx="5">
                  <c:v>1694.000000</c:v>
                </c:pt>
                <c:pt idx="6">
                  <c:v>1694.000000</c:v>
                </c:pt>
                <c:pt idx="7">
                  <c:v>1694.000000</c:v>
                </c:pt>
                <c:pt idx="8">
                  <c:v>1694.000000</c:v>
                </c:pt>
                <c:pt idx="9">
                  <c:v>1694.000000</c:v>
                </c:pt>
                <c:pt idx="10">
                  <c:v>1694.000000</c:v>
                </c:pt>
                <c:pt idx="11">
                  <c:v>1694.000000</c:v>
                </c:pt>
                <c:pt idx="12">
                  <c:v>1694.000000</c:v>
                </c:pt>
                <c:pt idx="13">
                  <c:v>1694.000000</c:v>
                </c:pt>
                <c:pt idx="14">
                  <c:v>1694.000000</c:v>
                </c:pt>
                <c:pt idx="15">
                  <c:v>1694.000000</c:v>
                </c:pt>
                <c:pt idx="16">
                  <c:v>1694.000000</c:v>
                </c:pt>
                <c:pt idx="17">
                  <c:v>1694.000000</c:v>
                </c:pt>
                <c:pt idx="18">
                  <c:v>1694.000000</c:v>
                </c:pt>
                <c:pt idx="19">
                  <c:v>1694.000000</c:v>
                </c:pt>
                <c:pt idx="20">
                  <c:v>1694.000000</c:v>
                </c:pt>
                <c:pt idx="21">
                  <c:v>1694.000000</c:v>
                </c:pt>
                <c:pt idx="22">
                  <c:v>1694.000000</c:v>
                </c:pt>
                <c:pt idx="23">
                  <c:v>1694.000000</c:v>
                </c:pt>
                <c:pt idx="24">
                  <c:v>1694.000000</c:v>
                </c:pt>
                <c:pt idx="25">
                  <c:v>1694.000000</c:v>
                </c:pt>
                <c:pt idx="26">
                  <c:v>1694.000000</c:v>
                </c:pt>
                <c:pt idx="27">
                  <c:v>1694.000000</c:v>
                </c:pt>
                <c:pt idx="28">
                  <c:v>1694.000000</c:v>
                </c:pt>
                <c:pt idx="29">
                  <c:v>1694.000000</c:v>
                </c:pt>
                <c:pt idx="30">
                  <c:v>1694.000000</c:v>
                </c:pt>
              </c:numCache>
            </c:numRef>
          </c:val>
          <c:smooth val="0"/>
        </c:ser>
        <c:ser>
          <c:idx val="2"/>
          <c:order val="2"/>
          <c:tx>
            <c:v>Média Velocity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(2)'!$U$31:$AY$31</c:f>
              <c:numCache>
                <c:ptCount val="31"/>
                <c:pt idx="0">
                  <c:v>2067.695806</c:v>
                </c:pt>
                <c:pt idx="1">
                  <c:v>2067.695806</c:v>
                </c:pt>
                <c:pt idx="2">
                  <c:v>2067.695806</c:v>
                </c:pt>
                <c:pt idx="3">
                  <c:v>2067.695806</c:v>
                </c:pt>
                <c:pt idx="4">
                  <c:v>2067.695806</c:v>
                </c:pt>
                <c:pt idx="5">
                  <c:v>2067.695806</c:v>
                </c:pt>
                <c:pt idx="6">
                  <c:v>2067.695806</c:v>
                </c:pt>
                <c:pt idx="7">
                  <c:v>2067.695806</c:v>
                </c:pt>
                <c:pt idx="8">
                  <c:v>2067.695806</c:v>
                </c:pt>
                <c:pt idx="9">
                  <c:v>2067.695806</c:v>
                </c:pt>
                <c:pt idx="10">
                  <c:v>2067.695806</c:v>
                </c:pt>
                <c:pt idx="11">
                  <c:v>2067.695806</c:v>
                </c:pt>
                <c:pt idx="12">
                  <c:v>2067.695806</c:v>
                </c:pt>
                <c:pt idx="13">
                  <c:v>2067.695806</c:v>
                </c:pt>
                <c:pt idx="14">
                  <c:v>2067.695806</c:v>
                </c:pt>
                <c:pt idx="15">
                  <c:v>2067.695806</c:v>
                </c:pt>
                <c:pt idx="16">
                  <c:v>2067.695806</c:v>
                </c:pt>
                <c:pt idx="17">
                  <c:v>2067.695806</c:v>
                </c:pt>
                <c:pt idx="18">
                  <c:v>2067.695806</c:v>
                </c:pt>
                <c:pt idx="19">
                  <c:v>2067.695806</c:v>
                </c:pt>
                <c:pt idx="20">
                  <c:v>2067.695806</c:v>
                </c:pt>
                <c:pt idx="21">
                  <c:v>2067.695806</c:v>
                </c:pt>
                <c:pt idx="22">
                  <c:v>2067.695806</c:v>
                </c:pt>
                <c:pt idx="23">
                  <c:v>2067.695806</c:v>
                </c:pt>
                <c:pt idx="24">
                  <c:v>2067.695806</c:v>
                </c:pt>
                <c:pt idx="25">
                  <c:v>2067.695806</c:v>
                </c:pt>
                <c:pt idx="26">
                  <c:v>2067.695806</c:v>
                </c:pt>
                <c:pt idx="27">
                  <c:v>2067.695806</c:v>
                </c:pt>
                <c:pt idx="28">
                  <c:v>2067.695806</c:v>
                </c:pt>
                <c:pt idx="29">
                  <c:v>2067.695806</c:v>
                </c:pt>
                <c:pt idx="30">
                  <c:v>2067.695806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91383"/>
          <c:y val="0.928202"/>
          <c:w val="0.221582"/>
          <c:h val="0.07179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Lagoa Azul x Realizado Lagoa Azul</a:t>
            </a:r>
          </a:p>
        </c:rich>
      </c:tx>
      <c:layout>
        <c:manualLayout>
          <c:xMode val="edge"/>
          <c:yMode val="edge"/>
          <c:x val="0.382869"/>
          <c:y val="0"/>
          <c:w val="0.234262"/>
          <c:h val="0.15105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41838"/>
          <c:y val="0.151052"/>
          <c:w val="0.960816"/>
          <c:h val="0.660581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Mar26 (2)'!$T$13</c:f>
              <c:strCache>
                <c:ptCount val="1"/>
                <c:pt idx="0">
                  <c:v>Velocity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(2)'!$U$14:$AY$14</c:f>
              <c:numCache>
                <c:ptCount val="31"/>
                <c:pt idx="0">
                  <c:v>1295.830000</c:v>
                </c:pt>
                <c:pt idx="1">
                  <c:v>1271.770000</c:v>
                </c:pt>
                <c:pt idx="2">
                  <c:v>2418.810000</c:v>
                </c:pt>
                <c:pt idx="3">
                  <c:v>3162.670000</c:v>
                </c:pt>
                <c:pt idx="4">
                  <c:v>2285.710000</c:v>
                </c:pt>
                <c:pt idx="5">
                  <c:v>1654.180000</c:v>
                </c:pt>
                <c:pt idx="6">
                  <c:v>1293.310000</c:v>
                </c:pt>
                <c:pt idx="7">
                  <c:v>1581.970000</c:v>
                </c:pt>
                <c:pt idx="8">
                  <c:v>2005.150000</c:v>
                </c:pt>
                <c:pt idx="9">
                  <c:v>3042.020000</c:v>
                </c:pt>
                <c:pt idx="10">
                  <c:v>1894.790000</c:v>
                </c:pt>
                <c:pt idx="11">
                  <c:v>2016.570000</c:v>
                </c:pt>
                <c:pt idx="12">
                  <c:v>1564.730000</c:v>
                </c:pt>
                <c:pt idx="13">
                  <c:v>1672.080000</c:v>
                </c:pt>
                <c:pt idx="14">
                  <c:v>1608.350000</c:v>
                </c:pt>
                <c:pt idx="15">
                  <c:v>2583.570000</c:v>
                </c:pt>
                <c:pt idx="16">
                  <c:v>2257.900000</c:v>
                </c:pt>
                <c:pt idx="17">
                  <c:v>2494.280000</c:v>
                </c:pt>
                <c:pt idx="18">
                  <c:v>2927.280000</c:v>
                </c:pt>
                <c:pt idx="19">
                  <c:v>7627.020000</c:v>
                </c:pt>
                <c:pt idx="20">
                  <c:v>10327.390000</c:v>
                </c:pt>
                <c:pt idx="21">
                  <c:v>4921.760000</c:v>
                </c:pt>
                <c:pt idx="22">
                  <c:v>1918.660000</c:v>
                </c:pt>
                <c:pt idx="23">
                  <c:v>2741.660000</c:v>
                </c:pt>
                <c:pt idx="24">
                  <c:v>3570.040000</c:v>
                </c:pt>
                <c:pt idx="25">
                  <c:v>2961.790000</c:v>
                </c:pt>
                <c:pt idx="26">
                  <c:v>1195.280000</c:v>
                </c:pt>
                <c:pt idx="27">
                  <c:v>2077.550000</c:v>
                </c:pt>
                <c:pt idx="28">
                  <c:v>1863.840000</c:v>
                </c:pt>
                <c:pt idx="29">
                  <c:v>2519.290000</c:v>
                </c:pt>
                <c:pt idx="30">
                  <c:v>2999.380000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Mar26 (2)'!$T$23</c:f>
              <c:strCache>
                <c:ptCount val="1"/>
                <c:pt idx="0">
                  <c:v>Meta Lagoa Azul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(2)'!$U$23:$AY$23</c:f>
              <c:numCache>
                <c:ptCount val="31"/>
                <c:pt idx="0">
                  <c:v>1935.000000</c:v>
                </c:pt>
                <c:pt idx="1">
                  <c:v>1935.000000</c:v>
                </c:pt>
                <c:pt idx="2">
                  <c:v>1935.000000</c:v>
                </c:pt>
                <c:pt idx="3">
                  <c:v>1935.000000</c:v>
                </c:pt>
                <c:pt idx="4">
                  <c:v>1935.000000</c:v>
                </c:pt>
                <c:pt idx="5">
                  <c:v>1935.000000</c:v>
                </c:pt>
                <c:pt idx="6">
                  <c:v>1935.000000</c:v>
                </c:pt>
                <c:pt idx="7">
                  <c:v>1935.000000</c:v>
                </c:pt>
                <c:pt idx="8">
                  <c:v>1935.000000</c:v>
                </c:pt>
                <c:pt idx="9">
                  <c:v>1935.000000</c:v>
                </c:pt>
                <c:pt idx="10">
                  <c:v>1935.000000</c:v>
                </c:pt>
                <c:pt idx="11">
                  <c:v>1935.000000</c:v>
                </c:pt>
                <c:pt idx="12">
                  <c:v>1935.000000</c:v>
                </c:pt>
                <c:pt idx="13">
                  <c:v>1935.000000</c:v>
                </c:pt>
                <c:pt idx="14">
                  <c:v>1935.000000</c:v>
                </c:pt>
                <c:pt idx="15">
                  <c:v>1935.000000</c:v>
                </c:pt>
                <c:pt idx="16">
                  <c:v>1935.000000</c:v>
                </c:pt>
                <c:pt idx="17">
                  <c:v>1935.000000</c:v>
                </c:pt>
                <c:pt idx="18">
                  <c:v>1935.000000</c:v>
                </c:pt>
                <c:pt idx="19">
                  <c:v>1935.000000</c:v>
                </c:pt>
                <c:pt idx="20">
                  <c:v>1935.000000</c:v>
                </c:pt>
                <c:pt idx="21">
                  <c:v>1935.000000</c:v>
                </c:pt>
                <c:pt idx="22">
                  <c:v>1935.000000</c:v>
                </c:pt>
                <c:pt idx="23">
                  <c:v>1935.000000</c:v>
                </c:pt>
                <c:pt idx="24">
                  <c:v>1935.000000</c:v>
                </c:pt>
                <c:pt idx="25">
                  <c:v>1935.000000</c:v>
                </c:pt>
                <c:pt idx="26">
                  <c:v>1935.000000</c:v>
                </c:pt>
                <c:pt idx="27">
                  <c:v>1935.000000</c:v>
                </c:pt>
                <c:pt idx="28">
                  <c:v>1935.000000</c:v>
                </c:pt>
                <c:pt idx="29">
                  <c:v>1935.000000</c:v>
                </c:pt>
                <c:pt idx="30">
                  <c:v>1935.000000</c:v>
                </c:pt>
              </c:numCache>
            </c:numRef>
          </c:val>
          <c:smooth val="0"/>
        </c:ser>
        <c:ser>
          <c:idx val="2"/>
          <c:order val="2"/>
          <c:tx>
            <c:v>Series3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Mar26 (2)'!$U$7:$AY$7</c:f>
              <c:strCache>
                <c:ptCount val="31"/>
                <c:pt idx="0">
                  <c:v>1 - domingo</c:v>
                </c:pt>
                <c:pt idx="1">
                  <c:v>2 - segunda</c:v>
                </c:pt>
                <c:pt idx="2">
                  <c:v>3 - terça</c:v>
                </c:pt>
                <c:pt idx="3">
                  <c:v>4 - Quarta</c:v>
                </c:pt>
                <c:pt idx="4">
                  <c:v>5 - Quinta</c:v>
                </c:pt>
                <c:pt idx="5">
                  <c:v>6 - Sexta</c:v>
                </c:pt>
                <c:pt idx="6">
                  <c:v>7 - Sabado</c:v>
                </c:pt>
                <c:pt idx="7">
                  <c:v>8 - Domingo</c:v>
                </c:pt>
                <c:pt idx="8">
                  <c:v>9 - segunda</c:v>
                </c:pt>
                <c:pt idx="9">
                  <c:v>10 - terça</c:v>
                </c:pt>
                <c:pt idx="10">
                  <c:v>11 - Quarta</c:v>
                </c:pt>
                <c:pt idx="11">
                  <c:v>12 - Quinta</c:v>
                </c:pt>
                <c:pt idx="12">
                  <c:v>13 - Sexta</c:v>
                </c:pt>
                <c:pt idx="13">
                  <c:v>14 - Sabado</c:v>
                </c:pt>
                <c:pt idx="14">
                  <c:v>15 - Domingo</c:v>
                </c:pt>
                <c:pt idx="15">
                  <c:v>16 - segunda</c:v>
                </c:pt>
                <c:pt idx="16">
                  <c:v>17 - terça</c:v>
                </c:pt>
                <c:pt idx="17">
                  <c:v>18 - Quarta</c:v>
                </c:pt>
                <c:pt idx="18">
                  <c:v>19 - Quinta</c:v>
                </c:pt>
                <c:pt idx="19">
                  <c:v>20 - Sexta</c:v>
                </c:pt>
                <c:pt idx="20">
                  <c:v>21 - Sabado</c:v>
                </c:pt>
                <c:pt idx="21">
                  <c:v>22 - Domingo</c:v>
                </c:pt>
                <c:pt idx="22">
                  <c:v>23 - segunda</c:v>
                </c:pt>
                <c:pt idx="23">
                  <c:v>24 - terça</c:v>
                </c:pt>
                <c:pt idx="24">
                  <c:v>25 - Quarta</c:v>
                </c:pt>
                <c:pt idx="25">
                  <c:v>26 - Quinta</c:v>
                </c:pt>
                <c:pt idx="26">
                  <c:v>27 - Sexta</c:v>
                </c:pt>
                <c:pt idx="27">
                  <c:v>28 - Sabado</c:v>
                </c:pt>
                <c:pt idx="28">
                  <c:v>29 - Domingo</c:v>
                </c:pt>
                <c:pt idx="29">
                  <c:v>30 - Segunda</c:v>
                </c:pt>
                <c:pt idx="30">
                  <c:v>31 - Terça</c:v>
                </c:pt>
              </c:strCache>
            </c:strRef>
          </c:cat>
          <c:val>
            <c:numRef>
              <c:f>'Acompanhamento Mar26 (2)'!$U$32:$AY$32</c:f>
              <c:numCache>
                <c:ptCount val="31"/>
                <c:pt idx="0">
                  <c:v>2701.762258</c:v>
                </c:pt>
                <c:pt idx="1">
                  <c:v>2701.762258</c:v>
                </c:pt>
                <c:pt idx="2">
                  <c:v>2701.762258</c:v>
                </c:pt>
                <c:pt idx="3">
                  <c:v>2701.762258</c:v>
                </c:pt>
                <c:pt idx="4">
                  <c:v>2701.762258</c:v>
                </c:pt>
                <c:pt idx="5">
                  <c:v>2701.762258</c:v>
                </c:pt>
                <c:pt idx="6">
                  <c:v>2701.762258</c:v>
                </c:pt>
                <c:pt idx="7">
                  <c:v>2701.762258</c:v>
                </c:pt>
                <c:pt idx="8">
                  <c:v>2701.762258</c:v>
                </c:pt>
                <c:pt idx="9">
                  <c:v>2701.762258</c:v>
                </c:pt>
                <c:pt idx="10">
                  <c:v>2701.762258</c:v>
                </c:pt>
                <c:pt idx="11">
                  <c:v>2701.762258</c:v>
                </c:pt>
                <c:pt idx="12">
                  <c:v>2701.762258</c:v>
                </c:pt>
                <c:pt idx="13">
                  <c:v>2701.762258</c:v>
                </c:pt>
                <c:pt idx="14">
                  <c:v>2701.762258</c:v>
                </c:pt>
                <c:pt idx="15">
                  <c:v>2701.762258</c:v>
                </c:pt>
                <c:pt idx="16">
                  <c:v>2701.762258</c:v>
                </c:pt>
                <c:pt idx="17">
                  <c:v>2701.762258</c:v>
                </c:pt>
                <c:pt idx="18">
                  <c:v>2701.762258</c:v>
                </c:pt>
                <c:pt idx="19">
                  <c:v>2701.762258</c:v>
                </c:pt>
                <c:pt idx="20">
                  <c:v>2701.762258</c:v>
                </c:pt>
                <c:pt idx="21">
                  <c:v>2701.762258</c:v>
                </c:pt>
                <c:pt idx="22">
                  <c:v>2701.762258</c:v>
                </c:pt>
                <c:pt idx="23">
                  <c:v>2701.762258</c:v>
                </c:pt>
                <c:pt idx="24">
                  <c:v>2701.762258</c:v>
                </c:pt>
                <c:pt idx="25">
                  <c:v>2701.762258</c:v>
                </c:pt>
                <c:pt idx="26">
                  <c:v>2701.762258</c:v>
                </c:pt>
                <c:pt idx="27">
                  <c:v>2701.762258</c:v>
                </c:pt>
                <c:pt idx="28">
                  <c:v>2701.762258</c:v>
                </c:pt>
                <c:pt idx="29">
                  <c:v>2701.762258</c:v>
                </c:pt>
                <c:pt idx="30">
                  <c:v>2701.762258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750"/>
        <c:minorUnit val="13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971"/>
          <c:y val="0.928158"/>
          <c:w val="0.209439"/>
          <c:h val="0.071841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Restaurante Rio Mar x Realizado Rio Mar</a:t>
            </a:r>
          </a:p>
        </c:rich>
      </c:tx>
      <c:layout>
        <c:manualLayout>
          <c:xMode val="edge"/>
          <c:yMode val="edge"/>
          <c:x val="0.318319"/>
          <c:y val="0"/>
          <c:w val="0.363361"/>
          <c:h val="0.1025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69803"/>
          <c:y val="0.10251"/>
          <c:w val="0.94802"/>
          <c:h val="0.765639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Abr26'!$W$9:$AZ$9</c:f>
              <c:numCache>
                <c:ptCount val="30"/>
                <c:pt idx="0">
                  <c:v>24941.760000</c:v>
                </c:pt>
                <c:pt idx="1">
                  <c:v>22589.040000</c:v>
                </c:pt>
                <c:pt idx="2">
                  <c:v>12247.250000</c:v>
                </c:pt>
                <c:pt idx="3">
                  <c:v>16542.610000</c:v>
                </c:pt>
                <c:pt idx="4">
                  <c:v>10429.570000</c:v>
                </c:pt>
                <c:pt idx="5">
                  <c:v>17627.030000</c:v>
                </c:pt>
                <c:pt idx="6">
                  <c:v>17414.540000</c:v>
                </c:pt>
                <c:pt idx="7">
                  <c:v>20132.270000</c:v>
                </c:pt>
                <c:pt idx="8">
                  <c:v>23363.980000</c:v>
                </c:pt>
                <c:pt idx="9">
                  <c:v>23120.550000</c:v>
                </c:pt>
                <c:pt idx="10">
                  <c:v>27086.800000</c:v>
                </c:pt>
                <c:pt idx="11">
                  <c:v>20761.850000</c:v>
                </c:pt>
                <c:pt idx="12">
                  <c:v>21339.860000</c:v>
                </c:pt>
                <c:pt idx="13">
                  <c:v>11268.290000</c:v>
                </c:pt>
                <c:pt idx="14">
                  <c:v>22148.300000</c:v>
                </c:pt>
                <c:pt idx="15">
                  <c:v>22825.090000</c:v>
                </c:pt>
                <c:pt idx="16">
                  <c:v>21482.950000</c:v>
                </c:pt>
                <c:pt idx="17">
                  <c:v>20951.990000</c:v>
                </c:pt>
                <c:pt idx="18">
                  <c:v>18878.680000</c:v>
                </c:pt>
                <c:pt idx="19">
                  <c:v>22427.210000</c:v>
                </c:pt>
                <c:pt idx="20">
                  <c:v>20862.750000</c:v>
                </c:pt>
                <c:pt idx="21">
                  <c:v>21892.450000</c:v>
                </c:pt>
                <c:pt idx="22">
                  <c:v>20354.600000</c:v>
                </c:pt>
                <c:pt idx="23">
                  <c:v>25109.320000</c:v>
                </c:pt>
                <c:pt idx="24">
                  <c:v>26231.640000</c:v>
                </c:pt>
                <c:pt idx="25">
                  <c:v>20828.070000</c:v>
                </c:pt>
                <c:pt idx="26">
                  <c:v>15892.580000</c:v>
                </c:pt>
                <c:pt idx="27">
                  <c:v>19205.960000</c:v>
                </c:pt>
                <c:pt idx="28">
                  <c:v>26236.330000</c:v>
                </c:pt>
                <c:pt idx="29">
                  <c:v>27117.370000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Abr26'!$V$18</c:f>
              <c:strCache>
                <c:ptCount val="1"/>
                <c:pt idx="0">
                  <c:v>Total Meta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Abr26'!$W$19:$AZ$19</c:f>
              <c:numCache>
                <c:ptCount val="30"/>
                <c:pt idx="0">
                  <c:v>22000.000000</c:v>
                </c:pt>
                <c:pt idx="1">
                  <c:v>22000.000000</c:v>
                </c:pt>
                <c:pt idx="2">
                  <c:v>22000.000000</c:v>
                </c:pt>
                <c:pt idx="3">
                  <c:v>22000.000000</c:v>
                </c:pt>
                <c:pt idx="4">
                  <c:v>22000.000000</c:v>
                </c:pt>
                <c:pt idx="5">
                  <c:v>22000.000000</c:v>
                </c:pt>
                <c:pt idx="6">
                  <c:v>22000.000000</c:v>
                </c:pt>
                <c:pt idx="7">
                  <c:v>22000.000000</c:v>
                </c:pt>
                <c:pt idx="8">
                  <c:v>22000.000000</c:v>
                </c:pt>
                <c:pt idx="9">
                  <c:v>22000.000000</c:v>
                </c:pt>
                <c:pt idx="10">
                  <c:v>22000.000000</c:v>
                </c:pt>
                <c:pt idx="11">
                  <c:v>22000.000000</c:v>
                </c:pt>
                <c:pt idx="12">
                  <c:v>22000.000000</c:v>
                </c:pt>
                <c:pt idx="13">
                  <c:v>22000.000000</c:v>
                </c:pt>
                <c:pt idx="14">
                  <c:v>22000.000000</c:v>
                </c:pt>
                <c:pt idx="15">
                  <c:v>22000.000000</c:v>
                </c:pt>
                <c:pt idx="16">
                  <c:v>22000.000000</c:v>
                </c:pt>
                <c:pt idx="17">
                  <c:v>22000.000000</c:v>
                </c:pt>
                <c:pt idx="18">
                  <c:v>22000.000000</c:v>
                </c:pt>
                <c:pt idx="19">
                  <c:v>22000.000000</c:v>
                </c:pt>
                <c:pt idx="20">
                  <c:v>22000.000000</c:v>
                </c:pt>
                <c:pt idx="21">
                  <c:v>22000.000000</c:v>
                </c:pt>
                <c:pt idx="22">
                  <c:v>22000.000000</c:v>
                </c:pt>
                <c:pt idx="23">
                  <c:v>22000.000000</c:v>
                </c:pt>
                <c:pt idx="24">
                  <c:v>22000.000000</c:v>
                </c:pt>
                <c:pt idx="25">
                  <c:v>22000.000000</c:v>
                </c:pt>
                <c:pt idx="26">
                  <c:v>22000.000000</c:v>
                </c:pt>
                <c:pt idx="27">
                  <c:v>22000.000000</c:v>
                </c:pt>
                <c:pt idx="28">
                  <c:v>22000.000000</c:v>
                </c:pt>
                <c:pt idx="29">
                  <c:v>22000.000000</c:v>
                </c:pt>
              </c:numCache>
            </c:numRef>
          </c:val>
          <c:smooth val="0"/>
        </c:ser>
        <c:ser>
          <c:idx val="2"/>
          <c:order val="2"/>
          <c:tx>
            <c:v>Média Rio Mar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Abr26'!$W$29:$AZ$29</c:f>
              <c:numCache>
                <c:ptCount val="30"/>
                <c:pt idx="0">
                  <c:v>20710.356333</c:v>
                </c:pt>
                <c:pt idx="1">
                  <c:v>20710.356333</c:v>
                </c:pt>
                <c:pt idx="2">
                  <c:v>20710.356333</c:v>
                </c:pt>
                <c:pt idx="3">
                  <c:v>20710.356333</c:v>
                </c:pt>
                <c:pt idx="4">
                  <c:v>20710.356333</c:v>
                </c:pt>
                <c:pt idx="5">
                  <c:v>20710.356333</c:v>
                </c:pt>
                <c:pt idx="6">
                  <c:v>20710.356333</c:v>
                </c:pt>
                <c:pt idx="7">
                  <c:v>20710.356333</c:v>
                </c:pt>
                <c:pt idx="8">
                  <c:v>20710.356333</c:v>
                </c:pt>
                <c:pt idx="9">
                  <c:v>20710.356333</c:v>
                </c:pt>
                <c:pt idx="10">
                  <c:v>20710.356333</c:v>
                </c:pt>
                <c:pt idx="11">
                  <c:v>20710.356333</c:v>
                </c:pt>
                <c:pt idx="12">
                  <c:v>20710.356333</c:v>
                </c:pt>
                <c:pt idx="13">
                  <c:v>20710.356333</c:v>
                </c:pt>
                <c:pt idx="14">
                  <c:v>20710.356333</c:v>
                </c:pt>
                <c:pt idx="15">
                  <c:v>20710.356333</c:v>
                </c:pt>
                <c:pt idx="16">
                  <c:v>20710.356333</c:v>
                </c:pt>
                <c:pt idx="17">
                  <c:v>20710.356333</c:v>
                </c:pt>
                <c:pt idx="18">
                  <c:v>20710.356333</c:v>
                </c:pt>
                <c:pt idx="19">
                  <c:v>20710.356333</c:v>
                </c:pt>
                <c:pt idx="20">
                  <c:v>20710.356333</c:v>
                </c:pt>
                <c:pt idx="21">
                  <c:v>20710.356333</c:v>
                </c:pt>
                <c:pt idx="22">
                  <c:v>20710.356333</c:v>
                </c:pt>
                <c:pt idx="23">
                  <c:v>20710.356333</c:v>
                </c:pt>
                <c:pt idx="24">
                  <c:v>20710.356333</c:v>
                </c:pt>
                <c:pt idx="25">
                  <c:v>20710.356333</c:v>
                </c:pt>
                <c:pt idx="26">
                  <c:v>20710.356333</c:v>
                </c:pt>
                <c:pt idx="27">
                  <c:v>20710.356333</c:v>
                </c:pt>
                <c:pt idx="28">
                  <c:v>20710.356333</c:v>
                </c:pt>
                <c:pt idx="29">
                  <c:v>20710.356333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1000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2385"/>
          <c:y val="0.947228"/>
          <c:w val="0.323569"/>
          <c:h val="0.052771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Cabanga x Realizado Cabanga</a:t>
            </a:r>
          </a:p>
        </c:rich>
      </c:tx>
      <c:layout>
        <c:manualLayout>
          <c:xMode val="edge"/>
          <c:yMode val="edge"/>
          <c:x val="0.392215"/>
          <c:y val="0"/>
          <c:w val="0.215569"/>
          <c:h val="0.1418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57037"/>
          <c:y val="0.141867"/>
          <c:w val="0.959296"/>
          <c:h val="0.680458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Abr26'!$V$13</c:f>
              <c:strCache>
                <c:ptCount val="1"/>
                <c:pt idx="0">
                  <c:v>Cabanga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Abr26'!$W$12:$AZ$12</c:f>
              <c:numCache>
                <c:ptCount val="30"/>
                <c:pt idx="0">
                  <c:v>2525.510000</c:v>
                </c:pt>
                <c:pt idx="1">
                  <c:v>11503.370000</c:v>
                </c:pt>
                <c:pt idx="2">
                  <c:v>3903.690000</c:v>
                </c:pt>
                <c:pt idx="3">
                  <c:v>2800.030000</c:v>
                </c:pt>
                <c:pt idx="4">
                  <c:v>4554.730000</c:v>
                </c:pt>
                <c:pt idx="5">
                  <c:v>4640.860000</c:v>
                </c:pt>
                <c:pt idx="6">
                  <c:v>3759.310000</c:v>
                </c:pt>
                <c:pt idx="7">
                  <c:v>17766.100000</c:v>
                </c:pt>
                <c:pt idx="8">
                  <c:v>3065.300000</c:v>
                </c:pt>
                <c:pt idx="9">
                  <c:v>5618.000000</c:v>
                </c:pt>
                <c:pt idx="10">
                  <c:v>7730.810000</c:v>
                </c:pt>
                <c:pt idx="11">
                  <c:v>6963.990000</c:v>
                </c:pt>
                <c:pt idx="12">
                  <c:v>8033.340000</c:v>
                </c:pt>
                <c:pt idx="13">
                  <c:v>6564.290000</c:v>
                </c:pt>
                <c:pt idx="14">
                  <c:v>5410.480000</c:v>
                </c:pt>
                <c:pt idx="15">
                  <c:v>4918.360000</c:v>
                </c:pt>
                <c:pt idx="16">
                  <c:v>5821.000000</c:v>
                </c:pt>
                <c:pt idx="17">
                  <c:v>7181.860000</c:v>
                </c:pt>
                <c:pt idx="18">
                  <c:v>8118.950000</c:v>
                </c:pt>
                <c:pt idx="19">
                  <c:v>6817.440000</c:v>
                </c:pt>
                <c:pt idx="20">
                  <c:v>9921.590000</c:v>
                </c:pt>
                <c:pt idx="21">
                  <c:v>6685.670000</c:v>
                </c:pt>
                <c:pt idx="22">
                  <c:v>21174.480000</c:v>
                </c:pt>
                <c:pt idx="23">
                  <c:v>6893.310000</c:v>
                </c:pt>
                <c:pt idx="24">
                  <c:v>8016.410000</c:v>
                </c:pt>
                <c:pt idx="25">
                  <c:v>11431.510000</c:v>
                </c:pt>
                <c:pt idx="26">
                  <c:v>8865.960000</c:v>
                </c:pt>
                <c:pt idx="27">
                  <c:v>6324.600000</c:v>
                </c:pt>
                <c:pt idx="28">
                  <c:v>7368.110000</c:v>
                </c:pt>
                <c:pt idx="29">
                  <c:v>12851.300000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Abr26'!$V$23</c:f>
              <c:strCache>
                <c:ptCount val="1"/>
                <c:pt idx="0">
                  <c:v>Cabanga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Abr26'!$W$23:$AZ$23</c:f>
              <c:numCache>
                <c:ptCount val="30"/>
                <c:pt idx="0">
                  <c:v>2499.999975</c:v>
                </c:pt>
                <c:pt idx="1">
                  <c:v>2499.999975</c:v>
                </c:pt>
                <c:pt idx="2">
                  <c:v>2499.999975</c:v>
                </c:pt>
                <c:pt idx="3">
                  <c:v>2499.999975</c:v>
                </c:pt>
                <c:pt idx="4">
                  <c:v>2499.999975</c:v>
                </c:pt>
                <c:pt idx="5">
                  <c:v>2499.999975</c:v>
                </c:pt>
                <c:pt idx="6">
                  <c:v>2499.999975</c:v>
                </c:pt>
                <c:pt idx="7">
                  <c:v>2499.999975</c:v>
                </c:pt>
                <c:pt idx="8">
                  <c:v>2499.999975</c:v>
                </c:pt>
                <c:pt idx="9">
                  <c:v>2499.999975</c:v>
                </c:pt>
                <c:pt idx="10">
                  <c:v>2499.999975</c:v>
                </c:pt>
                <c:pt idx="11">
                  <c:v>2499.999975</c:v>
                </c:pt>
                <c:pt idx="12">
                  <c:v>2499.999975</c:v>
                </c:pt>
                <c:pt idx="13">
                  <c:v>2499.999975</c:v>
                </c:pt>
                <c:pt idx="14">
                  <c:v>2499.999975</c:v>
                </c:pt>
                <c:pt idx="15">
                  <c:v>2499.999975</c:v>
                </c:pt>
                <c:pt idx="16">
                  <c:v>2499.999975</c:v>
                </c:pt>
                <c:pt idx="17">
                  <c:v>2499.999975</c:v>
                </c:pt>
                <c:pt idx="18">
                  <c:v>2499.999975</c:v>
                </c:pt>
                <c:pt idx="19">
                  <c:v>2499.999975</c:v>
                </c:pt>
                <c:pt idx="20">
                  <c:v>2499.999975</c:v>
                </c:pt>
                <c:pt idx="21">
                  <c:v>2499.999975</c:v>
                </c:pt>
                <c:pt idx="22">
                  <c:v>2499.999975</c:v>
                </c:pt>
                <c:pt idx="23">
                  <c:v>2499.999975</c:v>
                </c:pt>
                <c:pt idx="24">
                  <c:v>2499.999975</c:v>
                </c:pt>
                <c:pt idx="25">
                  <c:v>2499.999975</c:v>
                </c:pt>
                <c:pt idx="26">
                  <c:v>2499.999975</c:v>
                </c:pt>
                <c:pt idx="27">
                  <c:v>2499.999975</c:v>
                </c:pt>
                <c:pt idx="28">
                  <c:v>2499.999975</c:v>
                </c:pt>
                <c:pt idx="29">
                  <c:v>2499.999975</c:v>
                </c:pt>
              </c:numCache>
            </c:numRef>
          </c:val>
          <c:smooth val="0"/>
        </c:ser>
        <c:ser>
          <c:idx val="2"/>
          <c:order val="2"/>
          <c:tx>
            <c:v>Series3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Abr26'!$W$33:$AZ$33</c:f>
              <c:numCache>
                <c:ptCount val="30"/>
                <c:pt idx="0">
                  <c:v>1145.058333</c:v>
                </c:pt>
                <c:pt idx="1">
                  <c:v>1145.058333</c:v>
                </c:pt>
                <c:pt idx="2">
                  <c:v>1145.058333</c:v>
                </c:pt>
                <c:pt idx="3">
                  <c:v>1145.058333</c:v>
                </c:pt>
                <c:pt idx="4">
                  <c:v>1145.058333</c:v>
                </c:pt>
                <c:pt idx="5">
                  <c:v>1145.058333</c:v>
                </c:pt>
                <c:pt idx="6">
                  <c:v>1145.058333</c:v>
                </c:pt>
                <c:pt idx="7">
                  <c:v>1145.058333</c:v>
                </c:pt>
                <c:pt idx="8">
                  <c:v>1145.058333</c:v>
                </c:pt>
                <c:pt idx="9">
                  <c:v>1145.058333</c:v>
                </c:pt>
                <c:pt idx="10">
                  <c:v>1145.058333</c:v>
                </c:pt>
                <c:pt idx="11">
                  <c:v>1145.058333</c:v>
                </c:pt>
                <c:pt idx="12">
                  <c:v>1145.058333</c:v>
                </c:pt>
                <c:pt idx="13">
                  <c:v>1145.058333</c:v>
                </c:pt>
                <c:pt idx="14">
                  <c:v>1145.058333</c:v>
                </c:pt>
                <c:pt idx="15">
                  <c:v>1145.058333</c:v>
                </c:pt>
                <c:pt idx="16">
                  <c:v>1145.058333</c:v>
                </c:pt>
                <c:pt idx="17">
                  <c:v>1145.058333</c:v>
                </c:pt>
                <c:pt idx="18">
                  <c:v>1145.058333</c:v>
                </c:pt>
                <c:pt idx="19">
                  <c:v>1145.058333</c:v>
                </c:pt>
                <c:pt idx="20">
                  <c:v>1145.058333</c:v>
                </c:pt>
                <c:pt idx="21">
                  <c:v>1145.058333</c:v>
                </c:pt>
                <c:pt idx="22">
                  <c:v>1145.058333</c:v>
                </c:pt>
                <c:pt idx="23">
                  <c:v>1145.058333</c:v>
                </c:pt>
                <c:pt idx="24">
                  <c:v>1145.058333</c:v>
                </c:pt>
                <c:pt idx="25">
                  <c:v>1145.058333</c:v>
                </c:pt>
                <c:pt idx="26">
                  <c:v>1145.058333</c:v>
                </c:pt>
                <c:pt idx="27">
                  <c:v>1145.058333</c:v>
                </c:pt>
                <c:pt idx="28">
                  <c:v>1145.058333</c:v>
                </c:pt>
                <c:pt idx="29">
                  <c:v>1145.058333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7500"/>
        <c:minorUnit val="37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7442"/>
          <c:y val="0.931766"/>
          <c:w val="0.191453"/>
          <c:h val="0.06823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Velocity x Realizado Velocity</a:t>
            </a:r>
          </a:p>
        </c:rich>
      </c:tx>
      <c:layout>
        <c:manualLayout>
          <c:xMode val="edge"/>
          <c:yMode val="edge"/>
          <c:x val="0.404277"/>
          <c:y val="0"/>
          <c:w val="0.191445"/>
          <c:h val="0.142855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295436"/>
          <c:y val="0.142855"/>
          <c:w val="0.965456"/>
          <c:h val="0.678322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Abr26'!$V$14</c:f>
              <c:strCache>
                <c:ptCount val="1"/>
                <c:pt idx="0">
                  <c:v>Velocity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Abr26'!$W$14:$AZ$14</c:f>
              <c:numCache>
                <c:ptCount val="30"/>
                <c:pt idx="0">
                  <c:v>1033.050000</c:v>
                </c:pt>
                <c:pt idx="1">
                  <c:v>1786.320000</c:v>
                </c:pt>
                <c:pt idx="2">
                  <c:v>1912.900000</c:v>
                </c:pt>
                <c:pt idx="3">
                  <c:v>1089.300000</c:v>
                </c:pt>
                <c:pt idx="4">
                  <c:v>907.540000</c:v>
                </c:pt>
                <c:pt idx="5">
                  <c:v>1860.490000</c:v>
                </c:pt>
                <c:pt idx="6">
                  <c:v>1515.560000</c:v>
                </c:pt>
                <c:pt idx="7">
                  <c:v>1833.340000</c:v>
                </c:pt>
                <c:pt idx="8">
                  <c:v>1951.180000</c:v>
                </c:pt>
                <c:pt idx="9">
                  <c:v>1855.160000</c:v>
                </c:pt>
                <c:pt idx="10">
                  <c:v>1201.740000</c:v>
                </c:pt>
                <c:pt idx="11">
                  <c:v>963.700000</c:v>
                </c:pt>
                <c:pt idx="12">
                  <c:v>1600.070000</c:v>
                </c:pt>
                <c:pt idx="13">
                  <c:v>2543.000000</c:v>
                </c:pt>
                <c:pt idx="14">
                  <c:v>1934.180000</c:v>
                </c:pt>
                <c:pt idx="15">
                  <c:v>1883.130000</c:v>
                </c:pt>
                <c:pt idx="16">
                  <c:v>1884.050000</c:v>
                </c:pt>
                <c:pt idx="17">
                  <c:v>1036.650000</c:v>
                </c:pt>
                <c:pt idx="18">
                  <c:v>1069.600000</c:v>
                </c:pt>
                <c:pt idx="19">
                  <c:v>1103.920000</c:v>
                </c:pt>
                <c:pt idx="20">
                  <c:v>1116.380000</c:v>
                </c:pt>
                <c:pt idx="21">
                  <c:v>1273.600000</c:v>
                </c:pt>
                <c:pt idx="22">
                  <c:v>1983.070000</c:v>
                </c:pt>
                <c:pt idx="23">
                  <c:v>2646.980000</c:v>
                </c:pt>
                <c:pt idx="24">
                  <c:v>1158.300000</c:v>
                </c:pt>
                <c:pt idx="25">
                  <c:v>1037.470000</c:v>
                </c:pt>
                <c:pt idx="26">
                  <c:v>3734.250000</c:v>
                </c:pt>
                <c:pt idx="27">
                  <c:v>1790.600000</c:v>
                </c:pt>
                <c:pt idx="28">
                  <c:v>1625.740000</c:v>
                </c:pt>
                <c:pt idx="29">
                  <c:v>2023.060000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Abr26'!$V$24</c:f>
              <c:strCache>
                <c:ptCount val="1"/>
                <c:pt idx="0">
                  <c:v>Velocity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Abr26'!$W$24:$AZ$24</c:f>
              <c:numCache>
                <c:ptCount val="30"/>
                <c:pt idx="0">
                  <c:v>2499.999750</c:v>
                </c:pt>
                <c:pt idx="1">
                  <c:v>2499.999750</c:v>
                </c:pt>
                <c:pt idx="2">
                  <c:v>2499.999750</c:v>
                </c:pt>
                <c:pt idx="3">
                  <c:v>2499.999750</c:v>
                </c:pt>
                <c:pt idx="4">
                  <c:v>2499.999750</c:v>
                </c:pt>
                <c:pt idx="5">
                  <c:v>2499.999750</c:v>
                </c:pt>
                <c:pt idx="6">
                  <c:v>2499.999750</c:v>
                </c:pt>
                <c:pt idx="7">
                  <c:v>2499.999750</c:v>
                </c:pt>
                <c:pt idx="8">
                  <c:v>2499.999750</c:v>
                </c:pt>
                <c:pt idx="9">
                  <c:v>2499.999750</c:v>
                </c:pt>
                <c:pt idx="10">
                  <c:v>2499.999750</c:v>
                </c:pt>
                <c:pt idx="11">
                  <c:v>2499.999750</c:v>
                </c:pt>
                <c:pt idx="12">
                  <c:v>2499.999750</c:v>
                </c:pt>
                <c:pt idx="13">
                  <c:v>2499.999750</c:v>
                </c:pt>
                <c:pt idx="14">
                  <c:v>2499.999750</c:v>
                </c:pt>
                <c:pt idx="15">
                  <c:v>2499.999750</c:v>
                </c:pt>
                <c:pt idx="16">
                  <c:v>2499.999750</c:v>
                </c:pt>
                <c:pt idx="17">
                  <c:v>2499.999750</c:v>
                </c:pt>
                <c:pt idx="18">
                  <c:v>2499.999750</c:v>
                </c:pt>
                <c:pt idx="19">
                  <c:v>2499.999750</c:v>
                </c:pt>
                <c:pt idx="20">
                  <c:v>2499.999750</c:v>
                </c:pt>
                <c:pt idx="21">
                  <c:v>2499.999750</c:v>
                </c:pt>
                <c:pt idx="22">
                  <c:v>2499.999750</c:v>
                </c:pt>
                <c:pt idx="23">
                  <c:v>2499.999750</c:v>
                </c:pt>
                <c:pt idx="24">
                  <c:v>2499.999750</c:v>
                </c:pt>
                <c:pt idx="25">
                  <c:v>2499.999750</c:v>
                </c:pt>
                <c:pt idx="26">
                  <c:v>2499.999750</c:v>
                </c:pt>
                <c:pt idx="27">
                  <c:v>2499.999750</c:v>
                </c:pt>
                <c:pt idx="28">
                  <c:v>2499.999750</c:v>
                </c:pt>
                <c:pt idx="29">
                  <c:v>2499.999750</c:v>
                </c:pt>
              </c:numCache>
            </c:numRef>
          </c:val>
          <c:smooth val="0"/>
        </c:ser>
        <c:ser>
          <c:idx val="2"/>
          <c:order val="2"/>
          <c:tx>
            <c:v>Series3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Abr26'!$W$34:$AZ$34</c:f>
              <c:numCache>
                <c:ptCount val="30"/>
                <c:pt idx="0">
                  <c:v>1645.144333</c:v>
                </c:pt>
                <c:pt idx="1">
                  <c:v>1645.144333</c:v>
                </c:pt>
                <c:pt idx="2">
                  <c:v>1645.144333</c:v>
                </c:pt>
                <c:pt idx="3">
                  <c:v>1645.144333</c:v>
                </c:pt>
                <c:pt idx="4">
                  <c:v>1645.144333</c:v>
                </c:pt>
                <c:pt idx="5">
                  <c:v>1645.144333</c:v>
                </c:pt>
                <c:pt idx="6">
                  <c:v>1645.144333</c:v>
                </c:pt>
                <c:pt idx="7">
                  <c:v>1645.144333</c:v>
                </c:pt>
                <c:pt idx="8">
                  <c:v>1645.144333</c:v>
                </c:pt>
                <c:pt idx="9">
                  <c:v>1645.144333</c:v>
                </c:pt>
                <c:pt idx="10">
                  <c:v>1645.144333</c:v>
                </c:pt>
                <c:pt idx="11">
                  <c:v>1645.144333</c:v>
                </c:pt>
                <c:pt idx="12">
                  <c:v>1645.144333</c:v>
                </c:pt>
                <c:pt idx="13">
                  <c:v>1645.144333</c:v>
                </c:pt>
                <c:pt idx="14">
                  <c:v>1645.144333</c:v>
                </c:pt>
                <c:pt idx="15">
                  <c:v>1645.144333</c:v>
                </c:pt>
                <c:pt idx="16">
                  <c:v>1645.144333</c:v>
                </c:pt>
                <c:pt idx="17">
                  <c:v>1645.144333</c:v>
                </c:pt>
                <c:pt idx="18">
                  <c:v>1645.144333</c:v>
                </c:pt>
                <c:pt idx="19">
                  <c:v>1645.144333</c:v>
                </c:pt>
                <c:pt idx="20">
                  <c:v>1645.144333</c:v>
                </c:pt>
                <c:pt idx="21">
                  <c:v>1645.144333</c:v>
                </c:pt>
                <c:pt idx="22">
                  <c:v>1645.144333</c:v>
                </c:pt>
                <c:pt idx="23">
                  <c:v>1645.144333</c:v>
                </c:pt>
                <c:pt idx="24">
                  <c:v>1645.144333</c:v>
                </c:pt>
                <c:pt idx="25">
                  <c:v>1645.144333</c:v>
                </c:pt>
                <c:pt idx="26">
                  <c:v>1645.144333</c:v>
                </c:pt>
                <c:pt idx="27">
                  <c:v>1645.144333</c:v>
                </c:pt>
                <c:pt idx="28">
                  <c:v>1645.144333</c:v>
                </c:pt>
                <c:pt idx="29">
                  <c:v>1645.144333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16733"/>
          <c:y val="0.931379"/>
          <c:w val="0.172573"/>
          <c:h val="0.068621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Lagoa Azul x Realizado Lagoa Azul</a:t>
            </a:r>
          </a:p>
        </c:rich>
      </c:tx>
      <c:layout>
        <c:manualLayout>
          <c:xMode val="edge"/>
          <c:yMode val="edge"/>
          <c:x val="0.380946"/>
          <c:y val="0"/>
          <c:w val="0.238108"/>
          <c:h val="0.1413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07077"/>
          <c:y val="0.14133"/>
          <c:w val="0.964292"/>
          <c:h val="0.681621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Abr26'!$V$15</c:f>
              <c:strCache>
                <c:ptCount val="1"/>
                <c:pt idx="0">
                  <c:v>Lagoa Azul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Abr26'!$W$15:$AZ$15</c:f>
              <c:numCache>
                <c:ptCount val="30"/>
                <c:pt idx="0">
                  <c:v>2652.620000</c:v>
                </c:pt>
                <c:pt idx="1">
                  <c:v>1289.920000</c:v>
                </c:pt>
                <c:pt idx="2">
                  <c:v>735.960000</c:v>
                </c:pt>
                <c:pt idx="3">
                  <c:v>925.030000</c:v>
                </c:pt>
                <c:pt idx="4">
                  <c:v>1105.180000</c:v>
                </c:pt>
                <c:pt idx="5">
                  <c:v>1971.530000</c:v>
                </c:pt>
                <c:pt idx="6">
                  <c:v>2004.190000</c:v>
                </c:pt>
                <c:pt idx="7">
                  <c:v>2384.610000</c:v>
                </c:pt>
                <c:pt idx="8">
                  <c:v>3321.360000</c:v>
                </c:pt>
                <c:pt idx="9">
                  <c:v>2284.760000</c:v>
                </c:pt>
                <c:pt idx="10">
                  <c:v>1815.810000</c:v>
                </c:pt>
                <c:pt idx="11">
                  <c:v>1693.390000</c:v>
                </c:pt>
                <c:pt idx="12">
                  <c:v>1049.640000</c:v>
                </c:pt>
                <c:pt idx="13">
                  <c:v>2815.650000</c:v>
                </c:pt>
                <c:pt idx="14">
                  <c:v>2684.940000</c:v>
                </c:pt>
                <c:pt idx="15">
                  <c:v>2783.990000</c:v>
                </c:pt>
                <c:pt idx="16">
                  <c:v>2001.180000</c:v>
                </c:pt>
                <c:pt idx="17">
                  <c:v>1599.200000</c:v>
                </c:pt>
                <c:pt idx="18">
                  <c:v>828.950000</c:v>
                </c:pt>
                <c:pt idx="19">
                  <c:v>1921.520000</c:v>
                </c:pt>
                <c:pt idx="20">
                  <c:v>1840.470000</c:v>
                </c:pt>
                <c:pt idx="21">
                  <c:v>2236.520000</c:v>
                </c:pt>
                <c:pt idx="22">
                  <c:v>2788.970000</c:v>
                </c:pt>
                <c:pt idx="23">
                  <c:v>1761.790000</c:v>
                </c:pt>
                <c:pt idx="24">
                  <c:v>3000.950000</c:v>
                </c:pt>
                <c:pt idx="25">
                  <c:v>1436.710000</c:v>
                </c:pt>
                <c:pt idx="26">
                  <c:v>2519.290000</c:v>
                </c:pt>
                <c:pt idx="27">
                  <c:v>3051.910000</c:v>
                </c:pt>
                <c:pt idx="28">
                  <c:v>2938.520000</c:v>
                </c:pt>
                <c:pt idx="29">
                  <c:v>2500.800000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Abr26'!$V$25</c:f>
              <c:strCache>
                <c:ptCount val="1"/>
                <c:pt idx="0">
                  <c:v>Lagoa Azul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Abr26'!$W$25:$AZ$25</c:f>
              <c:numCache>
                <c:ptCount val="30"/>
                <c:pt idx="0">
                  <c:v>2499.999990</c:v>
                </c:pt>
                <c:pt idx="1">
                  <c:v>2499.999990</c:v>
                </c:pt>
                <c:pt idx="2">
                  <c:v>2499.999990</c:v>
                </c:pt>
                <c:pt idx="3">
                  <c:v>2499.999990</c:v>
                </c:pt>
                <c:pt idx="4">
                  <c:v>2499.999990</c:v>
                </c:pt>
                <c:pt idx="5">
                  <c:v>2499.999990</c:v>
                </c:pt>
                <c:pt idx="6">
                  <c:v>2499.999990</c:v>
                </c:pt>
                <c:pt idx="7">
                  <c:v>2499.999990</c:v>
                </c:pt>
                <c:pt idx="8">
                  <c:v>2499.999990</c:v>
                </c:pt>
                <c:pt idx="9">
                  <c:v>2499.999990</c:v>
                </c:pt>
                <c:pt idx="10">
                  <c:v>2499.999990</c:v>
                </c:pt>
                <c:pt idx="11">
                  <c:v>2499.999990</c:v>
                </c:pt>
                <c:pt idx="12">
                  <c:v>2499.999990</c:v>
                </c:pt>
                <c:pt idx="13">
                  <c:v>2499.999990</c:v>
                </c:pt>
                <c:pt idx="14">
                  <c:v>2499.999990</c:v>
                </c:pt>
                <c:pt idx="15">
                  <c:v>2499.999990</c:v>
                </c:pt>
                <c:pt idx="16">
                  <c:v>2499.999990</c:v>
                </c:pt>
                <c:pt idx="17">
                  <c:v>2499.999990</c:v>
                </c:pt>
                <c:pt idx="18">
                  <c:v>2499.999990</c:v>
                </c:pt>
                <c:pt idx="19">
                  <c:v>2499.999990</c:v>
                </c:pt>
                <c:pt idx="20">
                  <c:v>2499.999990</c:v>
                </c:pt>
                <c:pt idx="21">
                  <c:v>2499.999990</c:v>
                </c:pt>
                <c:pt idx="22">
                  <c:v>2499.999990</c:v>
                </c:pt>
                <c:pt idx="23">
                  <c:v>2499.999990</c:v>
                </c:pt>
                <c:pt idx="24">
                  <c:v>2499.999990</c:v>
                </c:pt>
                <c:pt idx="25">
                  <c:v>2499.999990</c:v>
                </c:pt>
                <c:pt idx="26">
                  <c:v>2499.999990</c:v>
                </c:pt>
                <c:pt idx="27">
                  <c:v>2499.999990</c:v>
                </c:pt>
                <c:pt idx="28">
                  <c:v>2499.999990</c:v>
                </c:pt>
                <c:pt idx="29">
                  <c:v>2499.999990</c:v>
                </c:pt>
              </c:numCache>
            </c:numRef>
          </c:val>
          <c:smooth val="0"/>
        </c:ser>
        <c:ser>
          <c:idx val="2"/>
          <c:order val="2"/>
          <c:tx>
            <c:v>Series3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Abr26'!$W$35:$AZ$35</c:f>
              <c:numCache>
                <c:ptCount val="30"/>
                <c:pt idx="0">
                  <c:v>2064.845333</c:v>
                </c:pt>
                <c:pt idx="1">
                  <c:v>2064.845333</c:v>
                </c:pt>
                <c:pt idx="2">
                  <c:v>2064.845333</c:v>
                </c:pt>
                <c:pt idx="3">
                  <c:v>2064.845333</c:v>
                </c:pt>
                <c:pt idx="4">
                  <c:v>2064.845333</c:v>
                </c:pt>
                <c:pt idx="5">
                  <c:v>2064.845333</c:v>
                </c:pt>
                <c:pt idx="6">
                  <c:v>2064.845333</c:v>
                </c:pt>
                <c:pt idx="7">
                  <c:v>2064.845333</c:v>
                </c:pt>
                <c:pt idx="8">
                  <c:v>2064.845333</c:v>
                </c:pt>
                <c:pt idx="9">
                  <c:v>2064.845333</c:v>
                </c:pt>
                <c:pt idx="10">
                  <c:v>2064.845333</c:v>
                </c:pt>
                <c:pt idx="11">
                  <c:v>2064.845333</c:v>
                </c:pt>
                <c:pt idx="12">
                  <c:v>2064.845333</c:v>
                </c:pt>
                <c:pt idx="13">
                  <c:v>2064.845333</c:v>
                </c:pt>
                <c:pt idx="14">
                  <c:v>2064.845333</c:v>
                </c:pt>
                <c:pt idx="15">
                  <c:v>2064.845333</c:v>
                </c:pt>
                <c:pt idx="16">
                  <c:v>2064.845333</c:v>
                </c:pt>
                <c:pt idx="17">
                  <c:v>2064.845333</c:v>
                </c:pt>
                <c:pt idx="18">
                  <c:v>2064.845333</c:v>
                </c:pt>
                <c:pt idx="19">
                  <c:v>2064.845333</c:v>
                </c:pt>
                <c:pt idx="20">
                  <c:v>2064.845333</c:v>
                </c:pt>
                <c:pt idx="21">
                  <c:v>2064.845333</c:v>
                </c:pt>
                <c:pt idx="22">
                  <c:v>2064.845333</c:v>
                </c:pt>
                <c:pt idx="23">
                  <c:v>2064.845333</c:v>
                </c:pt>
                <c:pt idx="24">
                  <c:v>2064.845333</c:v>
                </c:pt>
                <c:pt idx="25">
                  <c:v>2064.845333</c:v>
                </c:pt>
                <c:pt idx="26">
                  <c:v>2064.845333</c:v>
                </c:pt>
                <c:pt idx="27">
                  <c:v>2064.845333</c:v>
                </c:pt>
                <c:pt idx="28">
                  <c:v>2064.845333</c:v>
                </c:pt>
                <c:pt idx="29">
                  <c:v>2064.845333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0878"/>
          <c:y val="0.931977"/>
          <c:w val="0.204521"/>
          <c:h val="0.068022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200" u="none">
                <a:solidFill>
                  <a:srgbClr val="404040"/>
                </a:solidFill>
                <a:latin typeface="Aptos Narrow"/>
              </a:defRPr>
            </a:pPr>
            <a:r>
              <a:rPr b="1" i="0" strike="noStrike" sz="1200" u="none">
                <a:solidFill>
                  <a:srgbClr val="404040"/>
                </a:solidFill>
                <a:latin typeface="Aptos Narrow"/>
              </a:rPr>
              <a:t>Faturamento Total</a:t>
            </a:r>
          </a:p>
        </c:rich>
      </c:tx>
      <c:layout>
        <c:manualLayout>
          <c:xMode val="edge"/>
          <c:yMode val="edge"/>
          <c:x val="0.454169"/>
          <c:y val="0"/>
          <c:w val="0.0916619"/>
          <c:h val="0.14550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85906"/>
          <c:y val="0.145506"/>
          <c:w val="0.897948"/>
          <c:h val="0.6461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'Acompanhamento Abr26'!$AE$218:$AF$218</c:f>
              <c:strCache/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Abr26'!$AG$217:$AR$217</c:f>
              <c:strCache>
                <c:ptCount val="0"/>
              </c:strCache>
            </c:strRef>
          </c:cat>
          <c:val>
            <c:numRef>
              <c:f>'Acompanhamento Abr26'!$AG$218:$AR$218</c:f>
              <c:numCache>
                <c:ptCount val="0"/>
              </c:numCache>
            </c:numRef>
          </c:val>
        </c:ser>
        <c:ser>
          <c:idx val="2"/>
          <c:order val="1"/>
          <c:tx>
            <c:strRef>
              <c:f>'Acompanhamento Abr26'!$AE$220:$AF$220</c:f>
              <c:strCache/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Abr26'!$AG$217:$AR$217</c:f>
              <c:strCache>
                <c:ptCount val="0"/>
              </c:strCache>
            </c:strRef>
          </c:cat>
          <c:val>
            <c:numRef>
              <c:f>'Acompanhamento Abr26'!$AG$220:$AR$220</c:f>
              <c:numCache>
                <c:ptCount val="0"/>
              </c:numCache>
            </c:numRef>
          </c:val>
        </c:ser>
        <c:ser>
          <c:idx val="3"/>
          <c:order val="2"/>
          <c:tx>
            <c:strRef>
              <c:f>'Acompanhamento Abr26'!$AE$221:$AF$221</c:f>
              <c:strCache/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Abr26'!$AG$217:$AR$217</c:f>
              <c:strCache>
                <c:ptCount val="0"/>
              </c:strCache>
            </c:strRef>
          </c:cat>
          <c:val>
            <c:numRef>
              <c:f>'Acompanhamento Abr26'!$AG$221:$AR$221</c:f>
              <c:numCache>
                <c:ptCount val="0"/>
              </c:numCache>
            </c:numRef>
          </c:val>
        </c:ser>
        <c:gapWidth val="150"/>
        <c:overlap val="0"/>
        <c:axId val="2094734552"/>
        <c:axId val="2094734553"/>
      </c:barChart>
      <c:lineChart>
        <c:grouping val="standard"/>
        <c:varyColors val="0"/>
        <c:ser>
          <c:idx val="1"/>
          <c:order val="3"/>
          <c:tx>
            <c:strRef>
              <c:f>'Acompanhamento Abr26'!$AE$219:$AF$219</c:f>
              <c:strCache/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Abr26'!$AG$217:$AR$217</c:f>
              <c:strCache>
                <c:ptCount val="0"/>
              </c:strCache>
            </c:strRef>
          </c:cat>
          <c:val>
            <c:numRef>
              <c:f>'Acompanhamento Abr26'!$AG$219:$AR$219</c:f>
              <c:numCache>
                <c:ptCount val="0"/>
              </c:numCache>
            </c:numRef>
          </c:val>
          <c:smooth val="0"/>
        </c:ser>
        <c:ser>
          <c:idx val="4"/>
          <c:order val="4"/>
          <c:tx>
            <c:strRef>
              <c:f>'Acompanhamento Abr26'!$AE$222:$AF$222</c:f>
              <c:strCache/>
            </c:strRef>
          </c:tx>
          <c:spPr>
            <a:noFill/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Abr26'!$AG$217:$AR$217</c:f>
              <c:strCache>
                <c:ptCount val="0"/>
              </c:strCache>
            </c:strRef>
          </c:cat>
          <c:val>
            <c:numRef>
              <c:f>'Acompanhamento Abr26'!$AG$222:$AR$222</c:f>
              <c:numCache>
                <c:ptCount val="0"/>
              </c:numCache>
            </c:numRef>
          </c:val>
          <c:smooth val="0"/>
        </c:ser>
        <c:marker val="1"/>
        <c:axId val="2094734555"/>
        <c:axId val="2094734556"/>
      </c:lineChart>
      <c:catAx>
        <c:axId val="2094734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1000" u="none">
                <a:solidFill>
                  <a:srgbClr val="40404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5e+06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1000" u="none">
                <a:solidFill>
                  <a:srgbClr val="40404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.25e+06"/>
        <c:minorUnit val="625000"/>
      </c:valAx>
      <c:catAx>
        <c:axId val="2094734555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round/>
          </a:ln>
        </c:spPr>
        <c:crossAx val="2094734556"/>
        <c:crosses val="autoZero"/>
        <c:auto val="1"/>
        <c:lblAlgn val="ctr"/>
        <c:noMultiLvlLbl val="1"/>
      </c:catAx>
      <c:valAx>
        <c:axId val="20947345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1000" u="none">
                <a:solidFill>
                  <a:srgbClr val="404040"/>
                </a:solidFill>
                <a:latin typeface="Aptos Narrow"/>
              </a:defRPr>
            </a:pPr>
          </a:p>
        </c:txPr>
        <c:crossAx val="2094734555"/>
        <c:crosses val="max"/>
        <c:crossBetween val="between"/>
        <c:majorUnit val="7.5e+06"/>
        <c:minorUnit val="3.75e+06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60239"/>
          <c:y val="0.920344"/>
          <c:w val="0.479522"/>
          <c:h val="0.079656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1000" u="none">
              <a:solidFill>
                <a:srgbClr val="40404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Faturamento Total x Realizado Faturamento Total</a:t>
            </a:r>
          </a:p>
        </c:rich>
      </c:tx>
      <c:layout>
        <c:manualLayout>
          <c:xMode val="edge"/>
          <c:yMode val="edge"/>
          <c:x val="0.288368"/>
          <c:y val="0"/>
          <c:w val="0.423264"/>
          <c:h val="0.1079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66924"/>
          <c:y val="0.107912"/>
          <c:w val="0.948308"/>
          <c:h val="0.756388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1"/>
              <c:pt idx="0">
                <c:v>1 - Quarta</c:v>
              </c:pt>
              <c:pt idx="1">
                <c:v>2 - Quinta</c:v>
              </c:pt>
              <c:pt idx="2">
                <c:v>3 - Sexta</c:v>
              </c:pt>
              <c:pt idx="3">
                <c:v>4 - Sábado</c:v>
              </c:pt>
              <c:pt idx="4">
                <c:v>5 - Domingo</c:v>
              </c:pt>
              <c:pt idx="5">
                <c:v>6 - Segunda</c:v>
              </c:pt>
              <c:pt idx="6">
                <c:v>7 - Terça</c:v>
              </c:pt>
              <c:pt idx="7">
                <c:v>8 - Quarta</c:v>
              </c:pt>
              <c:pt idx="8">
                <c:v>9 - Quinta</c:v>
              </c:pt>
              <c:pt idx="9">
                <c:v>10 - Sexta</c:v>
              </c:pt>
              <c:pt idx="10">
                <c:v>11 - Sábado</c:v>
              </c:pt>
              <c:pt idx="11">
                <c:v>12 - Domingo</c:v>
              </c:pt>
              <c:pt idx="12">
                <c:v>13 - Segunda</c:v>
              </c:pt>
              <c:pt idx="13">
                <c:v>14 - Terça</c:v>
              </c:pt>
              <c:pt idx="14">
                <c:v>15 - Quarta</c:v>
              </c:pt>
              <c:pt idx="15">
                <c:v>16 - Quinta</c:v>
              </c:pt>
              <c:pt idx="16">
                <c:v>17 - Sexta</c:v>
              </c:pt>
              <c:pt idx="17">
                <c:v>18 - Sábado</c:v>
              </c:pt>
              <c:pt idx="18">
                <c:v>19 - Domingo</c:v>
              </c:pt>
              <c:pt idx="19">
                <c:v>20 - Segunda</c:v>
              </c:pt>
              <c:pt idx="20">
                <c:v>21 - Terça</c:v>
              </c:pt>
              <c:pt idx="21">
                <c:v>22 - Quarta</c:v>
              </c:pt>
              <c:pt idx="22">
                <c:v>23 - Quinta</c:v>
              </c:pt>
              <c:pt idx="23">
                <c:v>24 - Sexta</c:v>
              </c:pt>
              <c:pt idx="24">
                <c:v>25 - Sábado</c:v>
              </c:pt>
              <c:pt idx="25">
                <c:v>26 - Domingo</c:v>
              </c:pt>
              <c:pt idx="26">
                <c:v>27 - Segunda</c:v>
              </c:pt>
              <c:pt idx="27">
                <c:v>28 - Terça</c:v>
              </c:pt>
              <c:pt idx="28">
                <c:v>29 - Quarta</c:v>
              </c:pt>
              <c:pt idx="29">
                <c:v>30 - Quinta</c:v>
              </c:pt>
              <c:pt idx="30">
                <c:v/>
              </c:pt>
            </c:strLit>
          </c:cat>
          <c:val>
            <c:numRef>
              <c:f>'Acompanhamento Abr26'!$W$8:$AZ$8</c:f>
              <c:numCache>
                <c:ptCount val="30"/>
                <c:pt idx="0">
                  <c:v>46249.240000</c:v>
                </c:pt>
                <c:pt idx="1">
                  <c:v>59336.380000</c:v>
                </c:pt>
                <c:pt idx="2">
                  <c:v>41431.940000</c:v>
                </c:pt>
                <c:pt idx="3">
                  <c:v>45542.360000</c:v>
                </c:pt>
                <c:pt idx="4">
                  <c:v>29935.730000</c:v>
                </c:pt>
                <c:pt idx="5">
                  <c:v>31504.560000</c:v>
                </c:pt>
                <c:pt idx="6">
                  <c:v>37869.300000</c:v>
                </c:pt>
                <c:pt idx="7">
                  <c:v>54374.500000</c:v>
                </c:pt>
                <c:pt idx="8">
                  <c:v>46112.080000</c:v>
                </c:pt>
                <c:pt idx="9">
                  <c:v>54206.820000</c:v>
                </c:pt>
                <c:pt idx="10">
                  <c:v>65495.550000</c:v>
                </c:pt>
                <c:pt idx="11">
                  <c:v>44154.470000</c:v>
                </c:pt>
                <c:pt idx="12">
                  <c:v>39057.030000</c:v>
                </c:pt>
                <c:pt idx="13">
                  <c:v>32462.550000</c:v>
                </c:pt>
                <c:pt idx="14">
                  <c:v>47696.150000</c:v>
                </c:pt>
                <c:pt idx="15">
                  <c:v>47903.180000</c:v>
                </c:pt>
                <c:pt idx="16">
                  <c:v>51289.560000</c:v>
                </c:pt>
                <c:pt idx="17">
                  <c:v>59149.020000</c:v>
                </c:pt>
                <c:pt idx="18">
                  <c:v>54466.350000</c:v>
                </c:pt>
                <c:pt idx="19">
                  <c:v>51938.740000</c:v>
                </c:pt>
                <c:pt idx="20">
                  <c:v>64534.428000</c:v>
                </c:pt>
                <c:pt idx="21">
                  <c:v>45513.500000</c:v>
                </c:pt>
                <c:pt idx="22">
                  <c:v>65154.190000</c:v>
                </c:pt>
                <c:pt idx="23">
                  <c:v>57833.100000</c:v>
                </c:pt>
                <c:pt idx="24">
                  <c:v>68010.370000</c:v>
                </c:pt>
                <c:pt idx="25">
                  <c:v>63420.680000</c:v>
                </c:pt>
                <c:pt idx="26">
                  <c:v>37778.350000</c:v>
                </c:pt>
                <c:pt idx="27">
                  <c:v>47073.070000</c:v>
                </c:pt>
                <c:pt idx="28">
                  <c:v>53668.630000</c:v>
                </c:pt>
                <c:pt idx="29">
                  <c:v>64093.810000</c:v>
                </c:pt>
              </c:numCache>
            </c:numRef>
          </c:val>
          <c:smooth val="1"/>
        </c:ser>
        <c:ser>
          <c:idx val="1"/>
          <c:order val="1"/>
          <c:tx>
            <c:v>Meta</c:v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1"/>
              <c:pt idx="0">
                <c:v>1 - Quarta</c:v>
              </c:pt>
              <c:pt idx="1">
                <c:v>2 - Quinta</c:v>
              </c:pt>
              <c:pt idx="2">
                <c:v>3 - Sexta</c:v>
              </c:pt>
              <c:pt idx="3">
                <c:v>4 - Sábado</c:v>
              </c:pt>
              <c:pt idx="4">
                <c:v>5 - Domingo</c:v>
              </c:pt>
              <c:pt idx="5">
                <c:v>6 - Segunda</c:v>
              </c:pt>
              <c:pt idx="6">
                <c:v>7 - Terça</c:v>
              </c:pt>
              <c:pt idx="7">
                <c:v>8 - Quarta</c:v>
              </c:pt>
              <c:pt idx="8">
                <c:v>9 - Quinta</c:v>
              </c:pt>
              <c:pt idx="9">
                <c:v>10 - Sexta</c:v>
              </c:pt>
              <c:pt idx="10">
                <c:v>11 - Sábado</c:v>
              </c:pt>
              <c:pt idx="11">
                <c:v>12 - Domingo</c:v>
              </c:pt>
              <c:pt idx="12">
                <c:v>13 - Segunda</c:v>
              </c:pt>
              <c:pt idx="13">
                <c:v>14 - Terça</c:v>
              </c:pt>
              <c:pt idx="14">
                <c:v>15 - Quarta</c:v>
              </c:pt>
              <c:pt idx="15">
                <c:v>16 - Quinta</c:v>
              </c:pt>
              <c:pt idx="16">
                <c:v>17 - Sexta</c:v>
              </c:pt>
              <c:pt idx="17">
                <c:v>18 - Sábado</c:v>
              </c:pt>
              <c:pt idx="18">
                <c:v>19 - Domingo</c:v>
              </c:pt>
              <c:pt idx="19">
                <c:v>20 - Segunda</c:v>
              </c:pt>
              <c:pt idx="20">
                <c:v>21 - Terça</c:v>
              </c:pt>
              <c:pt idx="21">
                <c:v>22 - Quarta</c:v>
              </c:pt>
              <c:pt idx="22">
                <c:v>23 - Quinta</c:v>
              </c:pt>
              <c:pt idx="23">
                <c:v>24 - Sexta</c:v>
              </c:pt>
              <c:pt idx="24">
                <c:v>25 - Sábado</c:v>
              </c:pt>
              <c:pt idx="25">
                <c:v>26 - Domingo</c:v>
              </c:pt>
              <c:pt idx="26">
                <c:v>27 - Segunda</c:v>
              </c:pt>
              <c:pt idx="27">
                <c:v>28 - Terça</c:v>
              </c:pt>
              <c:pt idx="28">
                <c:v>29 - Quarta</c:v>
              </c:pt>
              <c:pt idx="29">
                <c:v>30 - Quinta</c:v>
              </c:pt>
              <c:pt idx="30">
                <c:v/>
              </c:pt>
            </c:strLit>
          </c:cat>
          <c:val>
            <c:numRef>
              <c:f>'Acompanhamento Abr26'!$W$18:$AZ$18</c:f>
              <c:numCache>
                <c:ptCount val="30"/>
                <c:pt idx="0">
                  <c:v>54737.632062</c:v>
                </c:pt>
                <c:pt idx="1">
                  <c:v>54737.632062</c:v>
                </c:pt>
                <c:pt idx="2">
                  <c:v>54737.632062</c:v>
                </c:pt>
                <c:pt idx="3">
                  <c:v>54737.632062</c:v>
                </c:pt>
                <c:pt idx="4">
                  <c:v>54737.632062</c:v>
                </c:pt>
                <c:pt idx="5">
                  <c:v>54737.632062</c:v>
                </c:pt>
                <c:pt idx="6">
                  <c:v>54737.632062</c:v>
                </c:pt>
                <c:pt idx="7">
                  <c:v>54737.632062</c:v>
                </c:pt>
                <c:pt idx="8">
                  <c:v>54737.632062</c:v>
                </c:pt>
                <c:pt idx="9">
                  <c:v>54737.632062</c:v>
                </c:pt>
                <c:pt idx="10">
                  <c:v>54737.632062</c:v>
                </c:pt>
                <c:pt idx="11">
                  <c:v>54737.632062</c:v>
                </c:pt>
                <c:pt idx="12">
                  <c:v>54737.632062</c:v>
                </c:pt>
                <c:pt idx="13">
                  <c:v>54737.632062</c:v>
                </c:pt>
                <c:pt idx="14">
                  <c:v>54737.632062</c:v>
                </c:pt>
                <c:pt idx="15">
                  <c:v>54737.632062</c:v>
                </c:pt>
                <c:pt idx="16">
                  <c:v>54737.632062</c:v>
                </c:pt>
                <c:pt idx="17">
                  <c:v>54737.632062</c:v>
                </c:pt>
                <c:pt idx="18">
                  <c:v>54737.632062</c:v>
                </c:pt>
                <c:pt idx="19">
                  <c:v>54737.632062</c:v>
                </c:pt>
                <c:pt idx="20">
                  <c:v>54737.632062</c:v>
                </c:pt>
                <c:pt idx="21">
                  <c:v>54737.632062</c:v>
                </c:pt>
                <c:pt idx="22">
                  <c:v>54737.632062</c:v>
                </c:pt>
                <c:pt idx="23">
                  <c:v>54737.632062</c:v>
                </c:pt>
                <c:pt idx="24">
                  <c:v>54737.632062</c:v>
                </c:pt>
                <c:pt idx="25">
                  <c:v>54737.632062</c:v>
                </c:pt>
                <c:pt idx="26">
                  <c:v>54737.632062</c:v>
                </c:pt>
                <c:pt idx="27">
                  <c:v>54737.632062</c:v>
                </c:pt>
                <c:pt idx="28">
                  <c:v>54737.632062</c:v>
                </c:pt>
                <c:pt idx="29">
                  <c:v>54737.632062</c:v>
                </c:pt>
              </c:numCache>
            </c:numRef>
          </c:val>
          <c:smooth val="0"/>
        </c:ser>
        <c:ser>
          <c:idx val="2"/>
          <c:order val="2"/>
          <c:tx>
            <c:v>Média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1"/>
              <c:pt idx="0">
                <c:v>1 - Quarta</c:v>
              </c:pt>
              <c:pt idx="1">
                <c:v>2 - Quinta</c:v>
              </c:pt>
              <c:pt idx="2">
                <c:v>3 - Sexta</c:v>
              </c:pt>
              <c:pt idx="3">
                <c:v>4 - Sábado</c:v>
              </c:pt>
              <c:pt idx="4">
                <c:v>5 - Domingo</c:v>
              </c:pt>
              <c:pt idx="5">
                <c:v>6 - Segunda</c:v>
              </c:pt>
              <c:pt idx="6">
                <c:v>7 - Terça</c:v>
              </c:pt>
              <c:pt idx="7">
                <c:v>8 - Quarta</c:v>
              </c:pt>
              <c:pt idx="8">
                <c:v>9 - Quinta</c:v>
              </c:pt>
              <c:pt idx="9">
                <c:v>10 - Sexta</c:v>
              </c:pt>
              <c:pt idx="10">
                <c:v>11 - Sábado</c:v>
              </c:pt>
              <c:pt idx="11">
                <c:v>12 - Domingo</c:v>
              </c:pt>
              <c:pt idx="12">
                <c:v>13 - Segunda</c:v>
              </c:pt>
              <c:pt idx="13">
                <c:v>14 - Terça</c:v>
              </c:pt>
              <c:pt idx="14">
                <c:v>15 - Quarta</c:v>
              </c:pt>
              <c:pt idx="15">
                <c:v>16 - Quinta</c:v>
              </c:pt>
              <c:pt idx="16">
                <c:v>17 - Sexta</c:v>
              </c:pt>
              <c:pt idx="17">
                <c:v>18 - Sábado</c:v>
              </c:pt>
              <c:pt idx="18">
                <c:v>19 - Domingo</c:v>
              </c:pt>
              <c:pt idx="19">
                <c:v>20 - Segunda</c:v>
              </c:pt>
              <c:pt idx="20">
                <c:v>21 - Terça</c:v>
              </c:pt>
              <c:pt idx="21">
                <c:v>22 - Quarta</c:v>
              </c:pt>
              <c:pt idx="22">
                <c:v>23 - Quinta</c:v>
              </c:pt>
              <c:pt idx="23">
                <c:v>24 - Sexta</c:v>
              </c:pt>
              <c:pt idx="24">
                <c:v>25 - Sábado</c:v>
              </c:pt>
              <c:pt idx="25">
                <c:v>26 - Domingo</c:v>
              </c:pt>
              <c:pt idx="26">
                <c:v>27 - Segunda</c:v>
              </c:pt>
              <c:pt idx="27">
                <c:v>28 - Terça</c:v>
              </c:pt>
              <c:pt idx="28">
                <c:v>29 - Quarta</c:v>
              </c:pt>
              <c:pt idx="29">
                <c:v>30 - Quinta</c:v>
              </c:pt>
              <c:pt idx="30">
                <c:v/>
              </c:pt>
            </c:strLit>
          </c:cat>
          <c:val>
            <c:numRef>
              <c:f>'Acompanhamento Abr26'!$W$28:$BA$28</c:f>
              <c:numCache>
                <c:ptCount val="30"/>
                <c:pt idx="0">
                  <c:v>50241.854600</c:v>
                </c:pt>
                <c:pt idx="1">
                  <c:v>50241.854600</c:v>
                </c:pt>
                <c:pt idx="2">
                  <c:v>50241.854600</c:v>
                </c:pt>
                <c:pt idx="3">
                  <c:v>50241.854600</c:v>
                </c:pt>
                <c:pt idx="4">
                  <c:v>50241.854600</c:v>
                </c:pt>
                <c:pt idx="5">
                  <c:v>50241.854600</c:v>
                </c:pt>
                <c:pt idx="6">
                  <c:v>50241.854600</c:v>
                </c:pt>
                <c:pt idx="7">
                  <c:v>50241.854600</c:v>
                </c:pt>
                <c:pt idx="8">
                  <c:v>50241.854600</c:v>
                </c:pt>
                <c:pt idx="9">
                  <c:v>50241.854600</c:v>
                </c:pt>
                <c:pt idx="10">
                  <c:v>50241.854600</c:v>
                </c:pt>
                <c:pt idx="11">
                  <c:v>50241.854600</c:v>
                </c:pt>
                <c:pt idx="12">
                  <c:v>50241.854600</c:v>
                </c:pt>
                <c:pt idx="13">
                  <c:v>50241.854600</c:v>
                </c:pt>
                <c:pt idx="14">
                  <c:v>50241.854600</c:v>
                </c:pt>
                <c:pt idx="15">
                  <c:v>50241.854600</c:v>
                </c:pt>
                <c:pt idx="16">
                  <c:v>50241.854600</c:v>
                </c:pt>
                <c:pt idx="17">
                  <c:v>50241.854600</c:v>
                </c:pt>
                <c:pt idx="18">
                  <c:v>50241.854600</c:v>
                </c:pt>
                <c:pt idx="19">
                  <c:v>50241.854600</c:v>
                </c:pt>
                <c:pt idx="20">
                  <c:v>50241.854600</c:v>
                </c:pt>
                <c:pt idx="21">
                  <c:v>50241.854600</c:v>
                </c:pt>
                <c:pt idx="22">
                  <c:v>50241.854600</c:v>
                </c:pt>
                <c:pt idx="23">
                  <c:v>50241.854600</c:v>
                </c:pt>
                <c:pt idx="24">
                  <c:v>50241.854600</c:v>
                </c:pt>
                <c:pt idx="25">
                  <c:v>50241.854600</c:v>
                </c:pt>
                <c:pt idx="26">
                  <c:v>50241.854600</c:v>
                </c:pt>
                <c:pt idx="27">
                  <c:v>50241.854600</c:v>
                </c:pt>
                <c:pt idx="28">
                  <c:v>50241.854600</c:v>
                </c:pt>
                <c:pt idx="29">
                  <c:v>50241.854600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6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7500"/>
        <c:minorUnit val="87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77434"/>
          <c:y val="0.93804"/>
          <c:w val="0.25342"/>
          <c:h val="0.061959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Delivery x Realizado Delivery</a:t>
            </a:r>
          </a:p>
        </c:rich>
      </c:tx>
      <c:layout>
        <c:manualLayout>
          <c:xMode val="edge"/>
          <c:yMode val="edge"/>
          <c:x val="0.366897"/>
          <c:y val="0"/>
          <c:w val="0.266206"/>
          <c:h val="0.13184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66341"/>
          <c:y val="0.131847"/>
          <c:w val="0.948366"/>
          <c:h val="0.702145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Abr26'!$V$12</c:f>
              <c:strCache>
                <c:ptCount val="1"/>
                <c:pt idx="0">
                  <c:v>Delivery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Abr26'!$W$12:$AZ$12</c:f>
              <c:numCache>
                <c:ptCount val="30"/>
                <c:pt idx="0">
                  <c:v>2525.510000</c:v>
                </c:pt>
                <c:pt idx="1">
                  <c:v>11503.370000</c:v>
                </c:pt>
                <c:pt idx="2">
                  <c:v>3903.690000</c:v>
                </c:pt>
                <c:pt idx="3">
                  <c:v>2800.030000</c:v>
                </c:pt>
                <c:pt idx="4">
                  <c:v>4554.730000</c:v>
                </c:pt>
                <c:pt idx="5">
                  <c:v>4640.860000</c:v>
                </c:pt>
                <c:pt idx="6">
                  <c:v>3759.310000</c:v>
                </c:pt>
                <c:pt idx="7">
                  <c:v>17766.100000</c:v>
                </c:pt>
                <c:pt idx="8">
                  <c:v>3065.300000</c:v>
                </c:pt>
                <c:pt idx="9">
                  <c:v>5618.000000</c:v>
                </c:pt>
                <c:pt idx="10">
                  <c:v>7730.810000</c:v>
                </c:pt>
                <c:pt idx="11">
                  <c:v>6963.990000</c:v>
                </c:pt>
                <c:pt idx="12">
                  <c:v>8033.340000</c:v>
                </c:pt>
                <c:pt idx="13">
                  <c:v>6564.290000</c:v>
                </c:pt>
                <c:pt idx="14">
                  <c:v>5410.480000</c:v>
                </c:pt>
                <c:pt idx="15">
                  <c:v>4918.360000</c:v>
                </c:pt>
                <c:pt idx="16">
                  <c:v>5821.000000</c:v>
                </c:pt>
                <c:pt idx="17">
                  <c:v>7181.860000</c:v>
                </c:pt>
                <c:pt idx="18">
                  <c:v>8118.950000</c:v>
                </c:pt>
                <c:pt idx="19">
                  <c:v>6817.440000</c:v>
                </c:pt>
                <c:pt idx="20">
                  <c:v>9921.590000</c:v>
                </c:pt>
                <c:pt idx="21">
                  <c:v>6685.670000</c:v>
                </c:pt>
                <c:pt idx="22">
                  <c:v>21174.480000</c:v>
                </c:pt>
                <c:pt idx="23">
                  <c:v>6893.310000</c:v>
                </c:pt>
                <c:pt idx="24">
                  <c:v>8016.410000</c:v>
                </c:pt>
                <c:pt idx="25">
                  <c:v>11431.510000</c:v>
                </c:pt>
                <c:pt idx="26">
                  <c:v>8865.960000</c:v>
                </c:pt>
                <c:pt idx="27">
                  <c:v>6324.600000</c:v>
                </c:pt>
                <c:pt idx="28">
                  <c:v>7368.110000</c:v>
                </c:pt>
                <c:pt idx="29">
                  <c:v>12851.300000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Abr26'!$V$22</c:f>
              <c:strCache>
                <c:ptCount val="1"/>
                <c:pt idx="0">
                  <c:v>Delivery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Abr26'!$W$22:$AZ$22</c:f>
              <c:numCache>
                <c:ptCount val="30"/>
                <c:pt idx="0">
                  <c:v>5250.000000</c:v>
                </c:pt>
                <c:pt idx="1">
                  <c:v>5250.000000</c:v>
                </c:pt>
                <c:pt idx="2">
                  <c:v>5250.000000</c:v>
                </c:pt>
                <c:pt idx="3">
                  <c:v>5250.000000</c:v>
                </c:pt>
                <c:pt idx="4">
                  <c:v>5250.000000</c:v>
                </c:pt>
                <c:pt idx="5">
                  <c:v>5250.000000</c:v>
                </c:pt>
                <c:pt idx="6">
                  <c:v>5250.000000</c:v>
                </c:pt>
                <c:pt idx="7">
                  <c:v>5250.000000</c:v>
                </c:pt>
                <c:pt idx="8">
                  <c:v>5250.000000</c:v>
                </c:pt>
                <c:pt idx="9">
                  <c:v>5250.000000</c:v>
                </c:pt>
                <c:pt idx="10">
                  <c:v>5250.000000</c:v>
                </c:pt>
                <c:pt idx="11">
                  <c:v>5250.000000</c:v>
                </c:pt>
                <c:pt idx="12">
                  <c:v>5250.000000</c:v>
                </c:pt>
                <c:pt idx="13">
                  <c:v>5250.000000</c:v>
                </c:pt>
                <c:pt idx="14">
                  <c:v>5250.000000</c:v>
                </c:pt>
                <c:pt idx="15">
                  <c:v>5250.000000</c:v>
                </c:pt>
                <c:pt idx="16">
                  <c:v>5250.000000</c:v>
                </c:pt>
                <c:pt idx="17">
                  <c:v>5250.000000</c:v>
                </c:pt>
                <c:pt idx="18">
                  <c:v>5250.000000</c:v>
                </c:pt>
                <c:pt idx="19">
                  <c:v>5250.000000</c:v>
                </c:pt>
                <c:pt idx="20">
                  <c:v>5250.000000</c:v>
                </c:pt>
                <c:pt idx="21">
                  <c:v>5250.000000</c:v>
                </c:pt>
                <c:pt idx="22">
                  <c:v>5250.000000</c:v>
                </c:pt>
                <c:pt idx="23">
                  <c:v>5250.000000</c:v>
                </c:pt>
                <c:pt idx="24">
                  <c:v>5250.000000</c:v>
                </c:pt>
                <c:pt idx="25">
                  <c:v>5250.000000</c:v>
                </c:pt>
                <c:pt idx="26">
                  <c:v>5250.000000</c:v>
                </c:pt>
                <c:pt idx="27">
                  <c:v>5250.000000</c:v>
                </c:pt>
                <c:pt idx="28">
                  <c:v>5250.000000</c:v>
                </c:pt>
                <c:pt idx="29">
                  <c:v>5250.000000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'Acompanhamento Abr26'!$AJ$21</c:f>
              <c:strCache>
                <c:ptCount val="1"/>
                <c:pt idx="0">
                  <c:v>10.007</c:v>
                </c:pt>
              </c:strCache>
            </c:strRef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Abr26'!$W$32:$AZ$32</c:f>
              <c:numCache>
                <c:ptCount val="30"/>
                <c:pt idx="0">
                  <c:v>7574.345333</c:v>
                </c:pt>
                <c:pt idx="1">
                  <c:v>7574.345333</c:v>
                </c:pt>
                <c:pt idx="2">
                  <c:v>7574.345333</c:v>
                </c:pt>
                <c:pt idx="3">
                  <c:v>7574.345333</c:v>
                </c:pt>
                <c:pt idx="4">
                  <c:v>7574.345333</c:v>
                </c:pt>
                <c:pt idx="5">
                  <c:v>7574.345333</c:v>
                </c:pt>
                <c:pt idx="6">
                  <c:v>7574.345333</c:v>
                </c:pt>
                <c:pt idx="7">
                  <c:v>7574.345333</c:v>
                </c:pt>
                <c:pt idx="8">
                  <c:v>7574.345333</c:v>
                </c:pt>
                <c:pt idx="9">
                  <c:v>7574.345333</c:v>
                </c:pt>
                <c:pt idx="10">
                  <c:v>7574.345333</c:v>
                </c:pt>
                <c:pt idx="11">
                  <c:v>7574.345333</c:v>
                </c:pt>
                <c:pt idx="12">
                  <c:v>7574.345333</c:v>
                </c:pt>
                <c:pt idx="13">
                  <c:v>7574.345333</c:v>
                </c:pt>
                <c:pt idx="14">
                  <c:v>7574.345333</c:v>
                </c:pt>
                <c:pt idx="15">
                  <c:v>7574.345333</c:v>
                </c:pt>
                <c:pt idx="16">
                  <c:v>7574.345333</c:v>
                </c:pt>
                <c:pt idx="17">
                  <c:v>7574.345333</c:v>
                </c:pt>
                <c:pt idx="18">
                  <c:v>7574.345333</c:v>
                </c:pt>
                <c:pt idx="19">
                  <c:v>7574.345333</c:v>
                </c:pt>
                <c:pt idx="20">
                  <c:v>7574.345333</c:v>
                </c:pt>
                <c:pt idx="21">
                  <c:v>7574.345333</c:v>
                </c:pt>
                <c:pt idx="22">
                  <c:v>7574.345333</c:v>
                </c:pt>
                <c:pt idx="23">
                  <c:v>7574.345333</c:v>
                </c:pt>
                <c:pt idx="24">
                  <c:v>7574.345333</c:v>
                </c:pt>
                <c:pt idx="25">
                  <c:v>7574.345333</c:v>
                </c:pt>
                <c:pt idx="26">
                  <c:v>7574.345333</c:v>
                </c:pt>
                <c:pt idx="27">
                  <c:v>7574.345333</c:v>
                </c:pt>
                <c:pt idx="28">
                  <c:v>7574.345333</c:v>
                </c:pt>
                <c:pt idx="29">
                  <c:v>7574.345333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5500"/>
        <c:minorUnit val="27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85876"/>
          <c:y val="0.935703"/>
          <c:w val="0.236526"/>
          <c:h val="0.06429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Paiva x Realizado Paiva</a:t>
            </a:r>
          </a:p>
        </c:rich>
      </c:tx>
      <c:layout>
        <c:manualLayout>
          <c:xMode val="edge"/>
          <c:yMode val="edge"/>
          <c:x val="0.385377"/>
          <c:y val="0"/>
          <c:w val="0.229247"/>
          <c:h val="0.1310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68727"/>
          <c:y val="0.13107"/>
          <c:w val="0.948127"/>
          <c:h val="0.703827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Abr26'!$W$11:$AZ$11</c:f>
              <c:numCache>
                <c:ptCount val="30"/>
                <c:pt idx="0">
                  <c:v>5331.940000</c:v>
                </c:pt>
                <c:pt idx="1">
                  <c:v>11550.550000</c:v>
                </c:pt>
                <c:pt idx="2">
                  <c:v>17715.490000</c:v>
                </c:pt>
                <c:pt idx="3">
                  <c:v>18550.480000</c:v>
                </c:pt>
                <c:pt idx="4">
                  <c:v>9044.410000</c:v>
                </c:pt>
                <c:pt idx="5">
                  <c:v>0.000000</c:v>
                </c:pt>
                <c:pt idx="6">
                  <c:v>7140.010000</c:v>
                </c:pt>
                <c:pt idx="7">
                  <c:v>3595.220000</c:v>
                </c:pt>
                <c:pt idx="8">
                  <c:v>5899.780000</c:v>
                </c:pt>
                <c:pt idx="9">
                  <c:v>10569.980000</c:v>
                </c:pt>
                <c:pt idx="10">
                  <c:v>16440.480000</c:v>
                </c:pt>
                <c:pt idx="11">
                  <c:v>7950.440000</c:v>
                </c:pt>
                <c:pt idx="12">
                  <c:v>0.000000</c:v>
                </c:pt>
                <c:pt idx="13">
                  <c:v>3955.290000</c:v>
                </c:pt>
                <c:pt idx="14">
                  <c:v>4132.010000</c:v>
                </c:pt>
                <c:pt idx="15">
                  <c:v>5207.450000</c:v>
                </c:pt>
                <c:pt idx="16">
                  <c:v>8576.510000</c:v>
                </c:pt>
                <c:pt idx="17">
                  <c:v>16063.180000</c:v>
                </c:pt>
                <c:pt idx="18">
                  <c:v>19437.950000</c:v>
                </c:pt>
                <c:pt idx="19">
                  <c:v>11907.880000</c:v>
                </c:pt>
                <c:pt idx="20">
                  <c:v>23582.198000</c:v>
                </c:pt>
                <c:pt idx="21">
                  <c:v>7576.420000</c:v>
                </c:pt>
                <c:pt idx="22">
                  <c:v>6699.740000</c:v>
                </c:pt>
                <c:pt idx="23">
                  <c:v>11584.510000</c:v>
                </c:pt>
                <c:pt idx="24">
                  <c:v>19737.520000</c:v>
                </c:pt>
                <c:pt idx="25">
                  <c:v>17809.200000</c:v>
                </c:pt>
                <c:pt idx="26">
                  <c:v>0.000000</c:v>
                </c:pt>
                <c:pt idx="27">
                  <c:v>7661.370000</c:v>
                </c:pt>
                <c:pt idx="28">
                  <c:v>5845.570000</c:v>
                </c:pt>
                <c:pt idx="29">
                  <c:v>9225.900000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Abr26'!$V$18</c:f>
              <c:strCache>
                <c:ptCount val="1"/>
                <c:pt idx="0">
                  <c:v>Total Meta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Abr26'!$W$21:$AZ$21</c:f>
              <c:numCache>
                <c:ptCount val="30"/>
                <c:pt idx="0">
                  <c:v>10006.500000</c:v>
                </c:pt>
                <c:pt idx="1">
                  <c:v>10006.500000</c:v>
                </c:pt>
                <c:pt idx="2">
                  <c:v>10006.500000</c:v>
                </c:pt>
                <c:pt idx="3">
                  <c:v>10006.500000</c:v>
                </c:pt>
                <c:pt idx="4">
                  <c:v>10006.500000</c:v>
                </c:pt>
                <c:pt idx="5">
                  <c:v>10006.500000</c:v>
                </c:pt>
                <c:pt idx="6">
                  <c:v>10006.500000</c:v>
                </c:pt>
                <c:pt idx="7">
                  <c:v>10006.500000</c:v>
                </c:pt>
                <c:pt idx="8">
                  <c:v>10006.500000</c:v>
                </c:pt>
                <c:pt idx="9">
                  <c:v>10006.500000</c:v>
                </c:pt>
                <c:pt idx="10">
                  <c:v>10006.500000</c:v>
                </c:pt>
                <c:pt idx="11">
                  <c:v>10006.500000</c:v>
                </c:pt>
                <c:pt idx="12">
                  <c:v>10006.500000</c:v>
                </c:pt>
                <c:pt idx="13">
                  <c:v>10006.500000</c:v>
                </c:pt>
                <c:pt idx="14">
                  <c:v>10006.500000</c:v>
                </c:pt>
                <c:pt idx="15">
                  <c:v>10006.500000</c:v>
                </c:pt>
                <c:pt idx="16">
                  <c:v>10006.500000</c:v>
                </c:pt>
                <c:pt idx="17">
                  <c:v>10006.500000</c:v>
                </c:pt>
                <c:pt idx="18">
                  <c:v>10006.500000</c:v>
                </c:pt>
                <c:pt idx="19">
                  <c:v>10006.500000</c:v>
                </c:pt>
                <c:pt idx="20">
                  <c:v>10006.500000</c:v>
                </c:pt>
                <c:pt idx="21">
                  <c:v>10006.500000</c:v>
                </c:pt>
                <c:pt idx="22">
                  <c:v>10006.500000</c:v>
                </c:pt>
                <c:pt idx="23">
                  <c:v>10006.500000</c:v>
                </c:pt>
                <c:pt idx="24">
                  <c:v>10006.500000</c:v>
                </c:pt>
                <c:pt idx="25">
                  <c:v>10006.500000</c:v>
                </c:pt>
                <c:pt idx="26">
                  <c:v>10006.500000</c:v>
                </c:pt>
                <c:pt idx="27">
                  <c:v>10006.500000</c:v>
                </c:pt>
                <c:pt idx="28">
                  <c:v>10006.500000</c:v>
                </c:pt>
                <c:pt idx="29">
                  <c:v>10006.500000</c:v>
                </c:pt>
              </c:numCache>
            </c:numRef>
          </c:val>
          <c:smooth val="0"/>
        </c:ser>
        <c:ser>
          <c:idx val="2"/>
          <c:order val="2"/>
          <c:tx>
            <c:v>Média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Abr26'!$W$31:$AZ$31</c:f>
              <c:numCache>
                <c:ptCount val="30"/>
                <c:pt idx="0">
                  <c:v>9759.715933</c:v>
                </c:pt>
                <c:pt idx="1">
                  <c:v>9759.715933</c:v>
                </c:pt>
                <c:pt idx="2">
                  <c:v>9759.715933</c:v>
                </c:pt>
                <c:pt idx="3">
                  <c:v>9759.715933</c:v>
                </c:pt>
                <c:pt idx="4">
                  <c:v>9759.715933</c:v>
                </c:pt>
                <c:pt idx="5">
                  <c:v>9759.715933</c:v>
                </c:pt>
                <c:pt idx="6">
                  <c:v>9759.715933</c:v>
                </c:pt>
                <c:pt idx="7">
                  <c:v>9759.715933</c:v>
                </c:pt>
                <c:pt idx="8">
                  <c:v>9759.715933</c:v>
                </c:pt>
                <c:pt idx="9">
                  <c:v>9759.715933</c:v>
                </c:pt>
                <c:pt idx="10">
                  <c:v>9759.715933</c:v>
                </c:pt>
                <c:pt idx="11">
                  <c:v>9759.715933</c:v>
                </c:pt>
                <c:pt idx="12">
                  <c:v>9759.715933</c:v>
                </c:pt>
                <c:pt idx="13">
                  <c:v>9759.715933</c:v>
                </c:pt>
                <c:pt idx="14">
                  <c:v>9759.715933</c:v>
                </c:pt>
                <c:pt idx="15">
                  <c:v>9759.715933</c:v>
                </c:pt>
                <c:pt idx="16">
                  <c:v>9759.715933</c:v>
                </c:pt>
                <c:pt idx="17">
                  <c:v>9759.715933</c:v>
                </c:pt>
                <c:pt idx="18">
                  <c:v>9759.715933</c:v>
                </c:pt>
                <c:pt idx="19">
                  <c:v>9759.715933</c:v>
                </c:pt>
                <c:pt idx="20">
                  <c:v>9759.715933</c:v>
                </c:pt>
                <c:pt idx="21">
                  <c:v>9759.715933</c:v>
                </c:pt>
                <c:pt idx="22">
                  <c:v>9759.715933</c:v>
                </c:pt>
                <c:pt idx="23">
                  <c:v>9759.715933</c:v>
                </c:pt>
                <c:pt idx="24">
                  <c:v>9759.715933</c:v>
                </c:pt>
                <c:pt idx="25">
                  <c:v>9759.715933</c:v>
                </c:pt>
                <c:pt idx="26">
                  <c:v>9759.715933</c:v>
                </c:pt>
                <c:pt idx="27">
                  <c:v>9759.715933</c:v>
                </c:pt>
                <c:pt idx="28">
                  <c:v>9759.715933</c:v>
                </c:pt>
                <c:pt idx="29">
                  <c:v>9759.715933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7500"/>
        <c:minorUnit val="37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63703"/>
          <c:y val="0.936008"/>
          <c:w val="0.280914"/>
          <c:h val="0.063991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Aptos Narrow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Aptos Narrow"/>
              </a:rPr>
              <a:t>Meta Restaurante Rio Mar x Realizado Rio Mar</a:t>
            </a:r>
          </a:p>
        </c:rich>
      </c:tx>
      <c:layout>
        <c:manualLayout>
          <c:xMode val="edge"/>
          <c:yMode val="edge"/>
          <c:x val="0.320042"/>
          <c:y val="0"/>
          <c:w val="0.359915"/>
          <c:h val="0.10084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65347"/>
          <c:y val="0.100849"/>
          <c:w val="0.948465"/>
          <c:h val="0.769235"/>
        </c:manualLayout>
      </c:layout>
      <c:lineChart>
        <c:grouping val="standard"/>
        <c:varyColors val="0"/>
        <c:ser>
          <c:idx val="0"/>
          <c:order val="0"/>
          <c:tx>
            <c:strRef>
              <c:f>'Acompanhamento Abr26'!$V$8</c:f>
              <c:strCache>
                <c:ptCount val="1"/>
                <c:pt idx="0">
                  <c:v>Total Realizado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Abr26'!$W$9:$AZ$9</c:f>
              <c:numCache>
                <c:ptCount val="30"/>
                <c:pt idx="0">
                  <c:v>24941.760000</c:v>
                </c:pt>
                <c:pt idx="1">
                  <c:v>22589.040000</c:v>
                </c:pt>
                <c:pt idx="2">
                  <c:v>12247.250000</c:v>
                </c:pt>
                <c:pt idx="3">
                  <c:v>16542.610000</c:v>
                </c:pt>
                <c:pt idx="4">
                  <c:v>10429.570000</c:v>
                </c:pt>
                <c:pt idx="5">
                  <c:v>17627.030000</c:v>
                </c:pt>
                <c:pt idx="6">
                  <c:v>17414.540000</c:v>
                </c:pt>
                <c:pt idx="7">
                  <c:v>20132.270000</c:v>
                </c:pt>
                <c:pt idx="8">
                  <c:v>23363.980000</c:v>
                </c:pt>
                <c:pt idx="9">
                  <c:v>23120.550000</c:v>
                </c:pt>
                <c:pt idx="10">
                  <c:v>27086.800000</c:v>
                </c:pt>
                <c:pt idx="11">
                  <c:v>20761.850000</c:v>
                </c:pt>
                <c:pt idx="12">
                  <c:v>21339.860000</c:v>
                </c:pt>
                <c:pt idx="13">
                  <c:v>11268.290000</c:v>
                </c:pt>
                <c:pt idx="14">
                  <c:v>22148.300000</c:v>
                </c:pt>
                <c:pt idx="15">
                  <c:v>22825.090000</c:v>
                </c:pt>
                <c:pt idx="16">
                  <c:v>21482.950000</c:v>
                </c:pt>
                <c:pt idx="17">
                  <c:v>20951.990000</c:v>
                </c:pt>
                <c:pt idx="18">
                  <c:v>18878.680000</c:v>
                </c:pt>
                <c:pt idx="19">
                  <c:v>22427.210000</c:v>
                </c:pt>
                <c:pt idx="20">
                  <c:v>20862.750000</c:v>
                </c:pt>
                <c:pt idx="21">
                  <c:v>21892.450000</c:v>
                </c:pt>
                <c:pt idx="22">
                  <c:v>20354.600000</c:v>
                </c:pt>
                <c:pt idx="23">
                  <c:v>25109.320000</c:v>
                </c:pt>
                <c:pt idx="24">
                  <c:v>26231.640000</c:v>
                </c:pt>
                <c:pt idx="25">
                  <c:v>20828.070000</c:v>
                </c:pt>
                <c:pt idx="26">
                  <c:v>15892.580000</c:v>
                </c:pt>
                <c:pt idx="27">
                  <c:v>19205.960000</c:v>
                </c:pt>
                <c:pt idx="28">
                  <c:v>26236.330000</c:v>
                </c:pt>
                <c:pt idx="29">
                  <c:v>27117.370000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'Acompanhamento Abr26'!$V$18</c:f>
              <c:strCache>
                <c:ptCount val="1"/>
                <c:pt idx="0">
                  <c:v>Total Meta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Abr26'!$W$19:$AZ$19</c:f>
              <c:numCache>
                <c:ptCount val="30"/>
                <c:pt idx="0">
                  <c:v>22000.000000</c:v>
                </c:pt>
                <c:pt idx="1">
                  <c:v>22000.000000</c:v>
                </c:pt>
                <c:pt idx="2">
                  <c:v>22000.000000</c:v>
                </c:pt>
                <c:pt idx="3">
                  <c:v>22000.000000</c:v>
                </c:pt>
                <c:pt idx="4">
                  <c:v>22000.000000</c:v>
                </c:pt>
                <c:pt idx="5">
                  <c:v>22000.000000</c:v>
                </c:pt>
                <c:pt idx="6">
                  <c:v>22000.000000</c:v>
                </c:pt>
                <c:pt idx="7">
                  <c:v>22000.000000</c:v>
                </c:pt>
                <c:pt idx="8">
                  <c:v>22000.000000</c:v>
                </c:pt>
                <c:pt idx="9">
                  <c:v>22000.000000</c:v>
                </c:pt>
                <c:pt idx="10">
                  <c:v>22000.000000</c:v>
                </c:pt>
                <c:pt idx="11">
                  <c:v>22000.000000</c:v>
                </c:pt>
                <c:pt idx="12">
                  <c:v>22000.000000</c:v>
                </c:pt>
                <c:pt idx="13">
                  <c:v>22000.000000</c:v>
                </c:pt>
                <c:pt idx="14">
                  <c:v>22000.000000</c:v>
                </c:pt>
                <c:pt idx="15">
                  <c:v>22000.000000</c:v>
                </c:pt>
                <c:pt idx="16">
                  <c:v>22000.000000</c:v>
                </c:pt>
                <c:pt idx="17">
                  <c:v>22000.000000</c:v>
                </c:pt>
                <c:pt idx="18">
                  <c:v>22000.000000</c:v>
                </c:pt>
                <c:pt idx="19">
                  <c:v>22000.000000</c:v>
                </c:pt>
                <c:pt idx="20">
                  <c:v>22000.000000</c:v>
                </c:pt>
                <c:pt idx="21">
                  <c:v>22000.000000</c:v>
                </c:pt>
                <c:pt idx="22">
                  <c:v>22000.000000</c:v>
                </c:pt>
                <c:pt idx="23">
                  <c:v>22000.000000</c:v>
                </c:pt>
                <c:pt idx="24">
                  <c:v>22000.000000</c:v>
                </c:pt>
                <c:pt idx="25">
                  <c:v>22000.000000</c:v>
                </c:pt>
                <c:pt idx="26">
                  <c:v>22000.000000</c:v>
                </c:pt>
                <c:pt idx="27">
                  <c:v>22000.000000</c:v>
                </c:pt>
                <c:pt idx="28">
                  <c:v>22000.000000</c:v>
                </c:pt>
                <c:pt idx="29">
                  <c:v>22000.000000</c:v>
                </c:pt>
              </c:numCache>
            </c:numRef>
          </c:val>
          <c:smooth val="0"/>
        </c:ser>
        <c:ser>
          <c:idx val="2"/>
          <c:order val="2"/>
          <c:tx>
            <c:v>Média Rio Mar</c:v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'Acompanhamento Abr26'!$W$7:$AZ$7</c:f>
              <c:strCache>
                <c:ptCount val="30"/>
                <c:pt idx="0">
                  <c:v>1 - Quarta</c:v>
                </c:pt>
                <c:pt idx="1">
                  <c:v>2 - Quinta</c:v>
                </c:pt>
                <c:pt idx="2">
                  <c:v>3 - Sexta</c:v>
                </c:pt>
                <c:pt idx="3">
                  <c:v>4 - Sábado</c:v>
                </c:pt>
                <c:pt idx="4">
                  <c:v>5 - Domingo</c:v>
                </c:pt>
                <c:pt idx="5">
                  <c:v>6 - Segunda</c:v>
                </c:pt>
                <c:pt idx="6">
                  <c:v>7 - Terça</c:v>
                </c:pt>
                <c:pt idx="7">
                  <c:v>8 - Quarta</c:v>
                </c:pt>
                <c:pt idx="8">
                  <c:v>9 - Quinta</c:v>
                </c:pt>
                <c:pt idx="9">
                  <c:v>10 - Sexta</c:v>
                </c:pt>
                <c:pt idx="10">
                  <c:v>11 - Sábado</c:v>
                </c:pt>
                <c:pt idx="11">
                  <c:v>12 - Domingo</c:v>
                </c:pt>
                <c:pt idx="12">
                  <c:v>13 - Segunda</c:v>
                </c:pt>
                <c:pt idx="13">
                  <c:v>14 - Terça</c:v>
                </c:pt>
                <c:pt idx="14">
                  <c:v>15 - Quarta</c:v>
                </c:pt>
                <c:pt idx="15">
                  <c:v>16 - Quinta</c:v>
                </c:pt>
                <c:pt idx="16">
                  <c:v>17 - Sexta</c:v>
                </c:pt>
                <c:pt idx="17">
                  <c:v>18 - Sábado</c:v>
                </c:pt>
                <c:pt idx="18">
                  <c:v>19 - Domingo</c:v>
                </c:pt>
                <c:pt idx="19">
                  <c:v>20 - Segunda</c:v>
                </c:pt>
                <c:pt idx="20">
                  <c:v>21 - Terça</c:v>
                </c:pt>
                <c:pt idx="21">
                  <c:v>22 - Quarta</c:v>
                </c:pt>
                <c:pt idx="22">
                  <c:v>23 - Quinta</c:v>
                </c:pt>
                <c:pt idx="23">
                  <c:v>24 - Sexta</c:v>
                </c:pt>
                <c:pt idx="24">
                  <c:v>25 - Sábado</c:v>
                </c:pt>
                <c:pt idx="25">
                  <c:v>26 - Domingo</c:v>
                </c:pt>
                <c:pt idx="26">
                  <c:v>27 - Segunda</c:v>
                </c:pt>
                <c:pt idx="27">
                  <c:v>28 - Terça</c:v>
                </c:pt>
                <c:pt idx="28">
                  <c:v>29 - Quarta</c:v>
                </c:pt>
                <c:pt idx="29">
                  <c:v>30 - Quinta</c:v>
                </c:pt>
              </c:strCache>
            </c:strRef>
          </c:cat>
          <c:val>
            <c:numRef>
              <c:f>'Acompanhamento Abr26'!$W$29:$AZ$29</c:f>
              <c:numCache>
                <c:ptCount val="30"/>
                <c:pt idx="0">
                  <c:v>20710.356333</c:v>
                </c:pt>
                <c:pt idx="1">
                  <c:v>20710.356333</c:v>
                </c:pt>
                <c:pt idx="2">
                  <c:v>20710.356333</c:v>
                </c:pt>
                <c:pt idx="3">
                  <c:v>20710.356333</c:v>
                </c:pt>
                <c:pt idx="4">
                  <c:v>20710.356333</c:v>
                </c:pt>
                <c:pt idx="5">
                  <c:v>20710.356333</c:v>
                </c:pt>
                <c:pt idx="6">
                  <c:v>20710.356333</c:v>
                </c:pt>
                <c:pt idx="7">
                  <c:v>20710.356333</c:v>
                </c:pt>
                <c:pt idx="8">
                  <c:v>20710.356333</c:v>
                </c:pt>
                <c:pt idx="9">
                  <c:v>20710.356333</c:v>
                </c:pt>
                <c:pt idx="10">
                  <c:v>20710.356333</c:v>
                </c:pt>
                <c:pt idx="11">
                  <c:v>20710.356333</c:v>
                </c:pt>
                <c:pt idx="12">
                  <c:v>20710.356333</c:v>
                </c:pt>
                <c:pt idx="13">
                  <c:v>20710.356333</c:v>
                </c:pt>
                <c:pt idx="14">
                  <c:v>20710.356333</c:v>
                </c:pt>
                <c:pt idx="15">
                  <c:v>20710.356333</c:v>
                </c:pt>
                <c:pt idx="16">
                  <c:v>20710.356333</c:v>
                </c:pt>
                <c:pt idx="17">
                  <c:v>20710.356333</c:v>
                </c:pt>
                <c:pt idx="18">
                  <c:v>20710.356333</c:v>
                </c:pt>
                <c:pt idx="19">
                  <c:v>20710.356333</c:v>
                </c:pt>
                <c:pt idx="20">
                  <c:v>20710.356333</c:v>
                </c:pt>
                <c:pt idx="21">
                  <c:v>20710.356333</c:v>
                </c:pt>
                <c:pt idx="22">
                  <c:v>20710.356333</c:v>
                </c:pt>
                <c:pt idx="23">
                  <c:v>20710.356333</c:v>
                </c:pt>
                <c:pt idx="24">
                  <c:v>20710.356333</c:v>
                </c:pt>
                <c:pt idx="25">
                  <c:v>20710.356333</c:v>
                </c:pt>
                <c:pt idx="26">
                  <c:v>20710.356333</c:v>
                </c:pt>
                <c:pt idx="27">
                  <c:v>20710.356333</c:v>
                </c:pt>
                <c:pt idx="28">
                  <c:v>20710.356333</c:v>
                </c:pt>
                <c:pt idx="29">
                  <c:v>20710.356333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1000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388"/>
          <c:y val="0.947881"/>
          <c:w val="0.3205"/>
          <c:h val="0.052119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9" Type="http://schemas.openxmlformats.org/officeDocument/2006/relationships/chart" Target="../charts/chart17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10029</xdr:colOff>
      <xdr:row>22</xdr:row>
      <xdr:rowOff>154758</xdr:rowOff>
    </xdr:from>
    <xdr:to>
      <xdr:col>16</xdr:col>
      <xdr:colOff>362194</xdr:colOff>
      <xdr:row>30</xdr:row>
      <xdr:rowOff>118492</xdr:rowOff>
    </xdr:to>
    <xdr:graphicFrame>
      <xdr:nvGraphicFramePr>
        <xdr:cNvPr id="2" name="Chart 1"/>
        <xdr:cNvGraphicFramePr/>
      </xdr:nvGraphicFramePr>
      <xdr:xfrm>
        <a:off x="251329" y="5053783"/>
        <a:ext cx="14715866" cy="158933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27</xdr:col>
      <xdr:colOff>405468</xdr:colOff>
      <xdr:row>42</xdr:row>
      <xdr:rowOff>48282</xdr:rowOff>
    </xdr:from>
    <xdr:to>
      <xdr:col>39</xdr:col>
      <xdr:colOff>827410</xdr:colOff>
      <xdr:row>56</xdr:row>
      <xdr:rowOff>85149</xdr:rowOff>
    </xdr:to>
    <xdr:graphicFrame>
      <xdr:nvGraphicFramePr>
        <xdr:cNvPr id="3" name="Chart 2"/>
        <xdr:cNvGraphicFramePr/>
      </xdr:nvGraphicFramePr>
      <xdr:xfrm>
        <a:off x="26757968" y="9166882"/>
        <a:ext cx="13858543" cy="343729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27</xdr:col>
      <xdr:colOff>349682</xdr:colOff>
      <xdr:row>94</xdr:row>
      <xdr:rowOff>121079</xdr:rowOff>
    </xdr:from>
    <xdr:to>
      <xdr:col>39</xdr:col>
      <xdr:colOff>1010905</xdr:colOff>
      <xdr:row>106</xdr:row>
      <xdr:rowOff>36844</xdr:rowOff>
    </xdr:to>
    <xdr:graphicFrame>
      <xdr:nvGraphicFramePr>
        <xdr:cNvPr id="4" name="Chart 3"/>
        <xdr:cNvGraphicFramePr/>
      </xdr:nvGraphicFramePr>
      <xdr:xfrm>
        <a:off x="26702182" y="20460129"/>
        <a:ext cx="14097824" cy="235416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27</xdr:col>
      <xdr:colOff>259535</xdr:colOff>
      <xdr:row>79</xdr:row>
      <xdr:rowOff>89445</xdr:rowOff>
    </xdr:from>
    <xdr:to>
      <xdr:col>39</xdr:col>
      <xdr:colOff>708921</xdr:colOff>
      <xdr:row>90</xdr:row>
      <xdr:rowOff>138672</xdr:rowOff>
    </xdr:to>
    <xdr:graphicFrame>
      <xdr:nvGraphicFramePr>
        <xdr:cNvPr id="5" name="Chart 4"/>
        <xdr:cNvGraphicFramePr/>
      </xdr:nvGraphicFramePr>
      <xdr:xfrm>
        <a:off x="26612035" y="17380495"/>
        <a:ext cx="13885987" cy="228442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27</xdr:col>
      <xdr:colOff>446631</xdr:colOff>
      <xdr:row>58</xdr:row>
      <xdr:rowOff>160200</xdr:rowOff>
    </xdr:from>
    <xdr:to>
      <xdr:col>39</xdr:col>
      <xdr:colOff>987388</xdr:colOff>
      <xdr:row>73</xdr:row>
      <xdr:rowOff>200129</xdr:rowOff>
    </xdr:to>
    <xdr:graphicFrame>
      <xdr:nvGraphicFramePr>
        <xdr:cNvPr id="6" name="Chart 5"/>
        <xdr:cNvGraphicFramePr/>
      </xdr:nvGraphicFramePr>
      <xdr:xfrm>
        <a:off x="26799131" y="13165000"/>
        <a:ext cx="13977358" cy="310698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27</xdr:col>
      <xdr:colOff>625070</xdr:colOff>
      <xdr:row>110</xdr:row>
      <xdr:rowOff>46066</xdr:rowOff>
    </xdr:from>
    <xdr:to>
      <xdr:col>40</xdr:col>
      <xdr:colOff>147318</xdr:colOff>
      <xdr:row>121</xdr:row>
      <xdr:rowOff>165032</xdr:rowOff>
    </xdr:to>
    <xdr:graphicFrame>
      <xdr:nvGraphicFramePr>
        <xdr:cNvPr id="7" name="Chart 6"/>
        <xdr:cNvGraphicFramePr/>
      </xdr:nvGraphicFramePr>
      <xdr:xfrm>
        <a:off x="26977570" y="23636316"/>
        <a:ext cx="14063749" cy="235416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28</xdr:col>
      <xdr:colOff>157480</xdr:colOff>
      <xdr:row>125</xdr:row>
      <xdr:rowOff>49530</xdr:rowOff>
    </xdr:from>
    <xdr:to>
      <xdr:col>40</xdr:col>
      <xdr:colOff>669174</xdr:colOff>
      <xdr:row>136</xdr:row>
      <xdr:rowOff>170225</xdr:rowOff>
    </xdr:to>
    <xdr:graphicFrame>
      <xdr:nvGraphicFramePr>
        <xdr:cNvPr id="8" name="Chart 7"/>
        <xdr:cNvGraphicFramePr/>
      </xdr:nvGraphicFramePr>
      <xdr:xfrm>
        <a:off x="27640280" y="26687780"/>
        <a:ext cx="13922895" cy="235589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28</xdr:col>
      <xdr:colOff>165907</xdr:colOff>
      <xdr:row>139</xdr:row>
      <xdr:rowOff>171336</xdr:rowOff>
    </xdr:from>
    <xdr:to>
      <xdr:col>40</xdr:col>
      <xdr:colOff>636118</xdr:colOff>
      <xdr:row>151</xdr:row>
      <xdr:rowOff>87098</xdr:rowOff>
    </xdr:to>
    <xdr:graphicFrame>
      <xdr:nvGraphicFramePr>
        <xdr:cNvPr id="9" name="Chart 8"/>
        <xdr:cNvGraphicFramePr/>
      </xdr:nvGraphicFramePr>
      <xdr:xfrm>
        <a:off x="27648707" y="29654386"/>
        <a:ext cx="13881412" cy="235416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28</xdr:col>
      <xdr:colOff>994318</xdr:colOff>
      <xdr:row>108</xdr:row>
      <xdr:rowOff>63361</xdr:rowOff>
    </xdr:from>
    <xdr:to>
      <xdr:col>38</xdr:col>
      <xdr:colOff>352107</xdr:colOff>
      <xdr:row>125</xdr:row>
      <xdr:rowOff>131868</xdr:rowOff>
    </xdr:to>
    <xdr:graphicFrame>
      <xdr:nvGraphicFramePr>
        <xdr:cNvPr id="11" name="Chart 10"/>
        <xdr:cNvGraphicFramePr/>
      </xdr:nvGraphicFramePr>
      <xdr:xfrm>
        <a:off x="28375518" y="21923236"/>
        <a:ext cx="10279790" cy="34689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17</xdr:col>
      <xdr:colOff>529821</xdr:colOff>
      <xdr:row>163</xdr:row>
      <xdr:rowOff>14316</xdr:rowOff>
    </xdr:from>
    <xdr:to>
      <xdr:col>30</xdr:col>
      <xdr:colOff>695937</xdr:colOff>
      <xdr:row>175</xdr:row>
      <xdr:rowOff>82482</xdr:rowOff>
    </xdr:to>
    <xdr:graphicFrame>
      <xdr:nvGraphicFramePr>
        <xdr:cNvPr id="12" name="Chart 3"/>
        <xdr:cNvGraphicFramePr/>
      </xdr:nvGraphicFramePr>
      <xdr:xfrm>
        <a:off x="16735021" y="32951766"/>
        <a:ext cx="13526517" cy="250656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29</xdr:col>
      <xdr:colOff>361588</xdr:colOff>
      <xdr:row>147</xdr:row>
      <xdr:rowOff>20955</xdr:rowOff>
    </xdr:from>
    <xdr:to>
      <xdr:col>42</xdr:col>
      <xdr:colOff>358234</xdr:colOff>
      <xdr:row>159</xdr:row>
      <xdr:rowOff>71800</xdr:rowOff>
    </xdr:to>
    <xdr:graphicFrame>
      <xdr:nvGraphicFramePr>
        <xdr:cNvPr id="13" name="Chart 7"/>
        <xdr:cNvGraphicFramePr/>
      </xdr:nvGraphicFramePr>
      <xdr:xfrm>
        <a:off x="28834988" y="29707205"/>
        <a:ext cx="14195247" cy="248924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31</xdr:col>
      <xdr:colOff>783407</xdr:colOff>
      <xdr:row>162</xdr:row>
      <xdr:rowOff>146389</xdr:rowOff>
    </xdr:from>
    <xdr:to>
      <xdr:col>44</xdr:col>
      <xdr:colOff>241953</xdr:colOff>
      <xdr:row>175</xdr:row>
      <xdr:rowOff>20879</xdr:rowOff>
    </xdr:to>
    <xdr:graphicFrame>
      <xdr:nvGraphicFramePr>
        <xdr:cNvPr id="14" name="Chart 12"/>
        <xdr:cNvGraphicFramePr/>
      </xdr:nvGraphicFramePr>
      <xdr:xfrm>
        <a:off x="31441207" y="32880639"/>
        <a:ext cx="13657147" cy="25160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18</xdr:col>
      <xdr:colOff>162981</xdr:colOff>
      <xdr:row>184</xdr:row>
      <xdr:rowOff>42303</xdr:rowOff>
    </xdr:from>
    <xdr:to>
      <xdr:col>32</xdr:col>
      <xdr:colOff>85946</xdr:colOff>
      <xdr:row>195</xdr:row>
      <xdr:rowOff>76432</xdr:rowOff>
    </xdr:to>
    <xdr:graphicFrame>
      <xdr:nvGraphicFramePr>
        <xdr:cNvPr id="15" name="Chart 2"/>
        <xdr:cNvGraphicFramePr/>
      </xdr:nvGraphicFramePr>
      <xdr:xfrm>
        <a:off x="17333381" y="37246953"/>
        <a:ext cx="14502566" cy="226933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18</xdr:col>
      <xdr:colOff>314980</xdr:colOff>
      <xdr:row>109</xdr:row>
      <xdr:rowOff>178458</xdr:rowOff>
    </xdr:from>
    <xdr:to>
      <xdr:col>28</xdr:col>
      <xdr:colOff>447357</xdr:colOff>
      <xdr:row>124</xdr:row>
      <xdr:rowOff>2598</xdr:rowOff>
    </xdr:to>
    <xdr:graphicFrame>
      <xdr:nvGraphicFramePr>
        <xdr:cNvPr id="16" name="Chart 1"/>
        <xdr:cNvGraphicFramePr/>
      </xdr:nvGraphicFramePr>
      <xdr:xfrm>
        <a:off x="17485380" y="22238358"/>
        <a:ext cx="10343178" cy="282451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29</xdr:col>
      <xdr:colOff>159182</xdr:colOff>
      <xdr:row>130</xdr:row>
      <xdr:rowOff>67104</xdr:rowOff>
    </xdr:from>
    <xdr:to>
      <xdr:col>38</xdr:col>
      <xdr:colOff>685482</xdr:colOff>
      <xdr:row>143</xdr:row>
      <xdr:rowOff>151144</xdr:rowOff>
    </xdr:to>
    <xdr:graphicFrame>
      <xdr:nvGraphicFramePr>
        <xdr:cNvPr id="17" name="Chart 4"/>
        <xdr:cNvGraphicFramePr/>
      </xdr:nvGraphicFramePr>
      <xdr:xfrm>
        <a:off x="28632582" y="26327529"/>
        <a:ext cx="10356101" cy="269706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18</xdr:col>
      <xdr:colOff>330973</xdr:colOff>
      <xdr:row>146</xdr:row>
      <xdr:rowOff>94206</xdr:rowOff>
    </xdr:from>
    <xdr:to>
      <xdr:col>28</xdr:col>
      <xdr:colOff>423545</xdr:colOff>
      <xdr:row>159</xdr:row>
      <xdr:rowOff>165658</xdr:rowOff>
    </xdr:to>
    <xdr:graphicFrame>
      <xdr:nvGraphicFramePr>
        <xdr:cNvPr id="18" name="Chart 5"/>
        <xdr:cNvGraphicFramePr/>
      </xdr:nvGraphicFramePr>
      <xdr:xfrm>
        <a:off x="17501373" y="29577256"/>
        <a:ext cx="10303373" cy="271305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18</xdr:col>
      <xdr:colOff>327569</xdr:colOff>
      <xdr:row>126</xdr:row>
      <xdr:rowOff>120513</xdr:rowOff>
    </xdr:from>
    <xdr:to>
      <xdr:col>28</xdr:col>
      <xdr:colOff>494982</xdr:colOff>
      <xdr:row>144</xdr:row>
      <xdr:rowOff>30268</xdr:rowOff>
    </xdr:to>
    <xdr:graphicFrame>
      <xdr:nvGraphicFramePr>
        <xdr:cNvPr id="19" name="Chart 11"/>
        <xdr:cNvGraphicFramePr/>
      </xdr:nvGraphicFramePr>
      <xdr:xfrm>
        <a:off x="17497968" y="25580838"/>
        <a:ext cx="10378215" cy="35260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104</v>
      </c>
      <c r="C11" s="3"/>
      <c r="D11" s="3"/>
    </row>
    <row r="12">
      <c r="B12" s="4"/>
      <c r="C12" t="s" s="4">
        <v>5</v>
      </c>
      <c r="D12" t="s" s="5">
        <v>104</v>
      </c>
    </row>
    <row r="13">
      <c r="B13" t="s" s="3">
        <v>180</v>
      </c>
      <c r="C13" s="3"/>
      <c r="D13" s="3"/>
    </row>
    <row r="14">
      <c r="B14" s="4"/>
      <c r="C14" t="s" s="4">
        <v>5</v>
      </c>
      <c r="D14" t="s" s="5">
        <v>180</v>
      </c>
    </row>
    <row r="15">
      <c r="B15" t="s" s="3">
        <v>222</v>
      </c>
      <c r="C15" s="3"/>
      <c r="D15" s="3"/>
    </row>
    <row r="16">
      <c r="B16" s="4"/>
      <c r="C16" t="s" s="4">
        <v>5</v>
      </c>
      <c r="D16" t="s" s="5">
        <v>222</v>
      </c>
    </row>
    <row r="17">
      <c r="B17" t="s" s="3">
        <v>230</v>
      </c>
      <c r="C17" s="3"/>
      <c r="D17" s="3"/>
    </row>
    <row r="18">
      <c r="B18" s="4"/>
      <c r="C18" t="s" s="4">
        <v>5</v>
      </c>
      <c r="D18" t="s" s="5">
        <v>230</v>
      </c>
    </row>
  </sheetData>
  <mergeCells count="1">
    <mergeCell ref="B3:D3"/>
  </mergeCells>
  <hyperlinks>
    <hyperlink ref="D10" location="'Acompanhamento Mar26 (2)'!R1C1" tooltip="" display="Acompanhamento Mar26 (2)"/>
    <hyperlink ref="D12" location="'Acompanhamento Abr26'!R1C1" tooltip="" display="Acompanhamento Abr26"/>
    <hyperlink ref="D14" location="'DRE Report'!R1C1" tooltip="" display="DRE Report"/>
    <hyperlink ref="D16" location="'Comparativo'!R1C1" tooltip="" display="Comparativo"/>
    <hyperlink ref="D18" location="'References'!R1C1" tooltip="" display="Reference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AZ176"/>
  <sheetViews>
    <sheetView workbookViewId="0" showGridLines="0" defaultGridColor="1"/>
  </sheetViews>
  <sheetFormatPr defaultColWidth="8.83333" defaultRowHeight="13.5" customHeight="1" outlineLevelRow="0" outlineLevelCol="0"/>
  <cols>
    <col min="1" max="1" width="3.17188" style="6" customWidth="1"/>
    <col min="2" max="2" width="24.8516" style="6" customWidth="1"/>
    <col min="3" max="3" width="13.5" style="6" customWidth="1"/>
    <col min="4" max="5" width="13" style="6" customWidth="1"/>
    <col min="6" max="6" width="12.5" style="6" customWidth="1"/>
    <col min="7" max="7" width="14.6719" style="6" customWidth="1"/>
    <col min="8" max="8" width="9.85156" style="6" customWidth="1"/>
    <col min="9" max="9" width="13.6719" style="6" customWidth="1"/>
    <col min="10" max="10" width="11.5" style="6" customWidth="1"/>
    <col min="11" max="11" width="11.6719" style="6" customWidth="1"/>
    <col min="12" max="12" width="11.5" style="6" customWidth="1"/>
    <col min="13" max="13" width="12.8516" style="6" customWidth="1"/>
    <col min="14" max="14" width="2.5" style="6" customWidth="1"/>
    <col min="15" max="15" width="13" style="6" customWidth="1"/>
    <col min="16" max="16" width="10.5" style="6" customWidth="1"/>
    <col min="17" max="17" width="9.17188" style="6" customWidth="1"/>
    <col min="18" max="18" width="8.5" style="6" customWidth="1"/>
    <col min="19" max="19" width="4.35156" style="6" customWidth="1"/>
    <col min="20" max="26" width="16.5" style="6" customWidth="1"/>
    <col min="27" max="27" width="16.6719" style="6" customWidth="1"/>
    <col min="28" max="33" width="14.8516" style="6" customWidth="1"/>
    <col min="34" max="38" width="14.5" style="6" customWidth="1"/>
    <col min="39" max="39" width="14.8516" style="6" customWidth="1"/>
    <col min="40" max="40" width="14.5" style="6" customWidth="1"/>
    <col min="41" max="50" width="14.8516" style="6" customWidth="1"/>
    <col min="51" max="51" width="14.5" style="6" customWidth="1"/>
    <col min="52" max="52" width="9.17188" style="6" customWidth="1"/>
    <col min="53" max="16384" width="8.85156" style="6" customWidth="1"/>
  </cols>
  <sheetData>
    <row r="1" ht="16" customHeight="1">
      <c r="A1" s="7"/>
      <c r="B1" s="8"/>
      <c r="C1" s="8"/>
      <c r="D1" s="8"/>
      <c r="E1" s="8"/>
      <c r="F1" s="8"/>
      <c r="G1" s="8"/>
      <c r="H1" s="8"/>
      <c r="I1" s="9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11"/>
    </row>
    <row r="2" ht="16" customHeight="1">
      <c r="A2" s="12"/>
      <c r="B2" s="13"/>
      <c r="C2" s="13"/>
      <c r="D2" s="13"/>
      <c r="E2" s="13"/>
      <c r="F2" s="13"/>
      <c r="G2" s="13"/>
      <c r="H2" s="13"/>
      <c r="I2" s="14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6">
        <v>1</v>
      </c>
      <c r="V2" s="16" cm="1">
        <f t="array" ref="V2">U2+1</f>
        <v>2</v>
      </c>
      <c r="W2" s="16" cm="1">
        <f t="array" ref="W2">V2+1</f>
        <v>3</v>
      </c>
      <c r="X2" s="16" cm="1">
        <f t="array" ref="X2">W2+1</f>
        <v>4</v>
      </c>
      <c r="Y2" s="16" cm="1">
        <f t="array" ref="Y2">X2+1</f>
        <v>5</v>
      </c>
      <c r="Z2" s="16" cm="1">
        <f t="array" ref="Z2">Y2+1</f>
        <v>6</v>
      </c>
      <c r="AA2" s="16" cm="1">
        <f t="array" ref="AA2">Z2+1</f>
        <v>7</v>
      </c>
      <c r="AB2" s="16" cm="1">
        <f t="array" ref="AB2">AA2+1</f>
        <v>8</v>
      </c>
      <c r="AC2" s="16" cm="1">
        <f t="array" ref="AC2">AB2+1</f>
        <v>9</v>
      </c>
      <c r="AD2" s="16" cm="1">
        <f t="array" ref="AD2">AC2+1</f>
        <v>10</v>
      </c>
      <c r="AE2" s="16" cm="1">
        <f t="array" ref="AE2">AD2+1</f>
        <v>11</v>
      </c>
      <c r="AF2" s="16" cm="1">
        <f t="array" ref="AF2">AE2+1</f>
        <v>12</v>
      </c>
      <c r="AG2" s="16" cm="1">
        <f t="array" ref="AG2">AF2+1</f>
        <v>13</v>
      </c>
      <c r="AH2" s="16" cm="1">
        <f t="array" ref="AH2">AG2+1</f>
        <v>14</v>
      </c>
      <c r="AI2" s="16" cm="1">
        <f t="array" ref="AI2">AH2+1</f>
        <v>15</v>
      </c>
      <c r="AJ2" s="16" cm="1">
        <f t="array" ref="AJ2">AI2+1</f>
        <v>16</v>
      </c>
      <c r="AK2" s="16" cm="1">
        <f t="array" ref="AK2">AJ2+1</f>
        <v>17</v>
      </c>
      <c r="AL2" s="16" cm="1">
        <f t="array" ref="AL2">AK2+1</f>
        <v>18</v>
      </c>
      <c r="AM2" s="16" cm="1">
        <f t="array" ref="AM2">AL2+1</f>
        <v>19</v>
      </c>
      <c r="AN2" s="16" cm="1">
        <f t="array" ref="AN2">AM2+1</f>
        <v>20</v>
      </c>
      <c r="AO2" s="16" cm="1">
        <f t="array" ref="AO2">AN2+1</f>
        <v>21</v>
      </c>
      <c r="AP2" s="16" cm="1">
        <f t="array" ref="AP2">AO2+1</f>
        <v>22</v>
      </c>
      <c r="AQ2" s="16" cm="1">
        <f t="array" ref="AQ2">AP2+1</f>
        <v>23</v>
      </c>
      <c r="AR2" s="16" cm="1">
        <f t="array" ref="AR2">AQ2+1</f>
        <v>24</v>
      </c>
      <c r="AS2" s="16" cm="1">
        <f t="array" ref="AS2">AR2+1</f>
        <v>25</v>
      </c>
      <c r="AT2" s="16" cm="1">
        <f t="array" ref="AT2">AS2+1</f>
        <v>26</v>
      </c>
      <c r="AU2" s="16" cm="1">
        <f t="array" ref="AU2">AT2+1</f>
        <v>27</v>
      </c>
      <c r="AV2" s="16" cm="1">
        <f t="array" ref="AV2">AU2+1</f>
        <v>28</v>
      </c>
      <c r="AW2" s="16" cm="1">
        <f t="array" ref="AW2">AV2+1</f>
        <v>29</v>
      </c>
      <c r="AX2" s="16" cm="1">
        <f t="array" ref="AX2">AW2+1</f>
        <v>30</v>
      </c>
      <c r="AY2" s="16" cm="1">
        <f t="array" ref="AY2">AX2+1</f>
        <v>31</v>
      </c>
      <c r="AZ2" s="17"/>
    </row>
    <row r="3" ht="16" customHeight="1">
      <c r="A3" s="18"/>
      <c r="B3" t="s" s="19">
        <v>6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0"/>
      <c r="P3" s="20"/>
      <c r="Q3" s="20"/>
      <c r="R3" s="21"/>
      <c r="S3" s="21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7"/>
    </row>
    <row r="4" ht="15.75" customHeight="1">
      <c r="A4" s="12"/>
      <c r="B4" s="21"/>
      <c r="C4" s="21"/>
      <c r="D4" s="21"/>
      <c r="E4" s="21"/>
      <c r="F4" s="21"/>
      <c r="G4" s="21"/>
      <c r="H4" s="21"/>
      <c r="I4" s="22"/>
      <c r="J4" s="22"/>
      <c r="K4" s="22"/>
      <c r="L4" s="22"/>
      <c r="M4" s="21"/>
      <c r="N4" s="21"/>
      <c r="O4" s="22"/>
      <c r="P4" s="22"/>
      <c r="Q4" s="22"/>
      <c r="R4" s="21"/>
      <c r="S4" s="21"/>
      <c r="T4" s="23"/>
      <c r="U4" s="23"/>
      <c r="V4" s="2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7"/>
    </row>
    <row r="5" ht="16.5" customHeight="1">
      <c r="A5" s="12"/>
      <c r="B5" s="21"/>
      <c r="C5" t="s" s="24">
        <v>7</v>
      </c>
      <c r="D5" s="25"/>
      <c r="E5" s="25"/>
      <c r="F5" s="25"/>
      <c r="G5" s="25"/>
      <c r="H5" s="21"/>
      <c r="I5" t="s" s="26">
        <v>8</v>
      </c>
      <c r="J5" s="27"/>
      <c r="K5" s="27"/>
      <c r="L5" s="27"/>
      <c r="M5" s="28"/>
      <c r="N5" s="29"/>
      <c r="O5" t="s" s="26">
        <v>9</v>
      </c>
      <c r="P5" s="27"/>
      <c r="Q5" s="27"/>
      <c r="R5" s="30"/>
      <c r="S5" s="13"/>
      <c r="T5" s="13"/>
      <c r="U5" s="31">
        <v>46082</v>
      </c>
      <c r="V5" s="32" cm="1">
        <f t="array" ref="V5">U5+1</f>
        <v>46083</v>
      </c>
      <c r="W5" s="32" cm="1">
        <f t="array" ref="W5">V5+1</f>
        <v>46084</v>
      </c>
      <c r="X5" s="32" cm="1">
        <f t="array" ref="X5">W5+1</f>
        <v>46085</v>
      </c>
      <c r="Y5" s="32" cm="1">
        <f t="array" ref="Y5">X5+1</f>
        <v>46086</v>
      </c>
      <c r="Z5" s="32" cm="1">
        <f t="array" ref="Z5">Y5+1</f>
        <v>46087</v>
      </c>
      <c r="AA5" s="32" cm="1">
        <f t="array" ref="AA5">Z5+1</f>
        <v>46088</v>
      </c>
      <c r="AB5" s="32" cm="1">
        <f t="array" ref="AB5">AA5+1</f>
        <v>46089</v>
      </c>
      <c r="AC5" s="32" cm="1">
        <f t="array" ref="AC5">AB5+1</f>
        <v>46090</v>
      </c>
      <c r="AD5" s="32" cm="1">
        <f t="array" ref="AD5">AC5+1</f>
        <v>46091</v>
      </c>
      <c r="AE5" s="32" cm="1">
        <f t="array" ref="AE5">AD5+1</f>
        <v>46092</v>
      </c>
      <c r="AF5" s="32" cm="1">
        <f t="array" ref="AF5">AE5+1</f>
        <v>46093</v>
      </c>
      <c r="AG5" s="32" cm="1">
        <f t="array" ref="AG5">AF5+1</f>
        <v>46094</v>
      </c>
      <c r="AH5" s="32" cm="1">
        <f t="array" ref="AH5">AG5+1</f>
        <v>46095</v>
      </c>
      <c r="AI5" s="31">
        <v>46096</v>
      </c>
      <c r="AJ5" s="31" cm="1">
        <f t="array" ref="AJ5">AI5+1</f>
        <v>46097</v>
      </c>
      <c r="AK5" s="31" cm="1">
        <f t="array" ref="AK5">AJ5+1</f>
        <v>46098</v>
      </c>
      <c r="AL5" s="31" cm="1">
        <f t="array" ref="AL5">AK5+1</f>
        <v>46099</v>
      </c>
      <c r="AM5" s="31" cm="1">
        <f t="array" ref="AM5">AL5+1</f>
        <v>46100</v>
      </c>
      <c r="AN5" s="31" cm="1">
        <f t="array" ref="AN5">AM5+1</f>
        <v>46101</v>
      </c>
      <c r="AO5" s="31" cm="1">
        <f t="array" ref="AO5">AN5+1</f>
        <v>46102</v>
      </c>
      <c r="AP5" s="31" cm="1">
        <f t="array" ref="AP5">AO5+1</f>
        <v>46103</v>
      </c>
      <c r="AQ5" s="31" cm="1">
        <f t="array" ref="AQ5">AP5+1</f>
        <v>46104</v>
      </c>
      <c r="AR5" s="31" cm="1">
        <f t="array" ref="AR5">AQ5+1</f>
        <v>46105</v>
      </c>
      <c r="AS5" s="31" cm="1">
        <f t="array" ref="AS5">AR5+1</f>
        <v>46106</v>
      </c>
      <c r="AT5" s="31" cm="1">
        <f t="array" ref="AT5">AS5+1</f>
        <v>46107</v>
      </c>
      <c r="AU5" s="31" cm="1">
        <f t="array" ref="AU5">AT5+1</f>
        <v>46108</v>
      </c>
      <c r="AV5" s="31" cm="1">
        <f t="array" ref="AV5">AU5+1</f>
        <v>46109</v>
      </c>
      <c r="AW5" s="31" cm="1">
        <f t="array" ref="AW5">AV5+1</f>
        <v>46110</v>
      </c>
      <c r="AX5" s="31" cm="1">
        <f t="array" ref="AX5">AW5+1</f>
        <v>46111</v>
      </c>
      <c r="AY5" s="31" cm="1">
        <f t="array" ref="AY5">AX5+1</f>
        <v>46112</v>
      </c>
      <c r="AZ5" s="17"/>
    </row>
    <row r="6" ht="26.2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t="s" s="33">
        <v>10</v>
      </c>
      <c r="V6" t="s" s="33">
        <v>11</v>
      </c>
      <c r="W6" t="s" s="33">
        <v>12</v>
      </c>
      <c r="X6" t="s" s="33">
        <v>13</v>
      </c>
      <c r="Y6" t="s" s="33">
        <v>14</v>
      </c>
      <c r="Z6" t="s" s="34">
        <v>15</v>
      </c>
      <c r="AA6" t="s" s="34">
        <v>16</v>
      </c>
      <c r="AB6" t="s" s="34">
        <v>17</v>
      </c>
      <c r="AC6" t="s" s="33">
        <v>11</v>
      </c>
      <c r="AD6" t="s" s="33">
        <v>12</v>
      </c>
      <c r="AE6" t="s" s="33">
        <v>13</v>
      </c>
      <c r="AF6" t="s" s="33">
        <v>14</v>
      </c>
      <c r="AG6" t="s" s="34">
        <v>15</v>
      </c>
      <c r="AH6" t="s" s="34">
        <v>16</v>
      </c>
      <c r="AI6" t="s" s="34">
        <v>17</v>
      </c>
      <c r="AJ6" t="s" s="33">
        <v>11</v>
      </c>
      <c r="AK6" t="s" s="33">
        <v>12</v>
      </c>
      <c r="AL6" t="s" s="33">
        <v>13</v>
      </c>
      <c r="AM6" t="s" s="33">
        <v>14</v>
      </c>
      <c r="AN6" t="s" s="34">
        <v>15</v>
      </c>
      <c r="AO6" t="s" s="34">
        <v>16</v>
      </c>
      <c r="AP6" t="s" s="34">
        <v>17</v>
      </c>
      <c r="AQ6" t="s" s="33">
        <v>11</v>
      </c>
      <c r="AR6" t="s" s="33">
        <v>12</v>
      </c>
      <c r="AS6" t="s" s="33">
        <v>13</v>
      </c>
      <c r="AT6" t="s" s="33">
        <v>14</v>
      </c>
      <c r="AU6" t="s" s="34">
        <v>15</v>
      </c>
      <c r="AV6" t="s" s="34">
        <v>16</v>
      </c>
      <c r="AW6" t="s" s="34">
        <v>17</v>
      </c>
      <c r="AX6" t="s" s="35">
        <v>18</v>
      </c>
      <c r="AY6" t="s" s="35">
        <v>19</v>
      </c>
      <c r="AZ6" s="17"/>
    </row>
    <row r="7" ht="40.5" customHeight="1">
      <c r="A7" s="12"/>
      <c r="B7" s="36"/>
      <c r="C7" t="s" s="37">
        <v>20</v>
      </c>
      <c r="D7" t="s" s="38">
        <v>21</v>
      </c>
      <c r="E7" t="s" s="38">
        <v>22</v>
      </c>
      <c r="F7" t="s" s="39">
        <v>23</v>
      </c>
      <c r="G7" t="s" s="37">
        <v>24</v>
      </c>
      <c r="H7" t="s" s="40">
        <v>25</v>
      </c>
      <c r="I7" t="s" s="37">
        <v>20</v>
      </c>
      <c r="J7" t="s" s="38">
        <v>21</v>
      </c>
      <c r="K7" t="s" s="38">
        <v>22</v>
      </c>
      <c r="L7" t="s" s="39">
        <v>23</v>
      </c>
      <c r="M7" t="s" s="41">
        <v>24</v>
      </c>
      <c r="N7" s="42"/>
      <c r="O7" t="s" s="43">
        <v>26</v>
      </c>
      <c r="P7" t="s" s="44">
        <v>27</v>
      </c>
      <c r="Q7" t="s" s="45">
        <v>28</v>
      </c>
      <c r="R7" s="46"/>
      <c r="S7" s="47"/>
      <c r="T7" s="48"/>
      <c r="U7" t="str" s="25" cm="1">
        <f t="array" ref="U7">CONCATENATE(U2," - ",U6)</f>
        <v>1 - domingo</v>
      </c>
      <c r="V7" t="str" s="25" cm="1">
        <f t="array" ref="V7">CONCATENATE(V2," - ",V6)</f>
        <v>2 - segunda</v>
      </c>
      <c r="W7" t="str" s="25" cm="1">
        <f t="array" ref="W7">CONCATENATE(W2," - ",W6)</f>
        <v>3 - terça</v>
      </c>
      <c r="X7" t="str" s="25" cm="1">
        <f t="array" ref="X7">CONCATENATE(X2," - ",X6)</f>
        <v>4 - Quarta</v>
      </c>
      <c r="Y7" t="str" s="25" cm="1">
        <f t="array" ref="Y7">CONCATENATE(Y2," - ",Y6)</f>
        <v>5 - Quinta</v>
      </c>
      <c r="Z7" t="str" s="25" cm="1">
        <f t="array" ref="Z7">CONCATENATE(Z2," - ",Z6)</f>
        <v>6 - Sexta</v>
      </c>
      <c r="AA7" t="str" s="25" cm="1">
        <f t="array" ref="AA7">CONCATENATE(AA2," - ",AA6)</f>
        <v>7 - Sabado</v>
      </c>
      <c r="AB7" t="str" s="25" cm="1">
        <f t="array" ref="AB7">CONCATENATE(AB2," - ",AB6)</f>
        <v>8 - Domingo</v>
      </c>
      <c r="AC7" t="str" s="25" cm="1">
        <f t="array" ref="AC7">CONCATENATE(AC2," - ",AC6)</f>
        <v>9 - segunda</v>
      </c>
      <c r="AD7" t="str" s="25" cm="1">
        <f t="array" ref="AD7">CONCATENATE(AD2," - ",AD6)</f>
        <v>10 - terça</v>
      </c>
      <c r="AE7" t="str" s="25" cm="1">
        <f t="array" ref="AE7">CONCATENATE(AE2," - ",AE6)</f>
        <v>11 - Quarta</v>
      </c>
      <c r="AF7" t="str" s="25" cm="1">
        <f t="array" ref="AF7">CONCATENATE(AF2," - ",AF6)</f>
        <v>12 - Quinta</v>
      </c>
      <c r="AG7" t="str" s="25" cm="1">
        <f t="array" ref="AG7">CONCATENATE(AG2," - ",AG6)</f>
        <v>13 - Sexta</v>
      </c>
      <c r="AH7" t="str" s="25" cm="1">
        <f t="array" ref="AH7">CONCATENATE(AH2," - ",AH6)</f>
        <v>14 - Sabado</v>
      </c>
      <c r="AI7" t="str" s="25" cm="1">
        <f t="array" ref="AI7">CONCATENATE(AI2," - ",AI6)</f>
        <v>15 - Domingo</v>
      </c>
      <c r="AJ7" t="str" s="25" cm="1">
        <f t="array" ref="AJ7">CONCATENATE(AJ2," - ",AJ6)</f>
        <v>16 - segunda</v>
      </c>
      <c r="AK7" t="str" s="25" cm="1">
        <f t="array" ref="AK7">CONCATENATE(AK2," - ",AK6)</f>
        <v>17 - terça</v>
      </c>
      <c r="AL7" t="str" s="25" cm="1">
        <f t="array" ref="AL7">CONCATENATE(AL2," - ",AL6)</f>
        <v>18 - Quarta</v>
      </c>
      <c r="AM7" t="str" s="25" cm="1">
        <f t="array" ref="AM7">CONCATENATE(AM2," - ",AM6)</f>
        <v>19 - Quinta</v>
      </c>
      <c r="AN7" t="str" s="25" cm="1">
        <f t="array" ref="AN7">CONCATENATE(AN2," - ",AN6)</f>
        <v>20 - Sexta</v>
      </c>
      <c r="AO7" t="str" s="25" cm="1">
        <f t="array" ref="AO7">CONCATENATE(AO2," - ",AO6)</f>
        <v>21 - Sabado</v>
      </c>
      <c r="AP7" t="str" s="25" cm="1">
        <f t="array" ref="AP7">CONCATENATE(AP2," - ",AP6)</f>
        <v>22 - Domingo</v>
      </c>
      <c r="AQ7" t="str" s="25" cm="1">
        <f t="array" ref="AQ7">CONCATENATE(AQ2," - ",AQ6)</f>
        <v>23 - segunda</v>
      </c>
      <c r="AR7" t="str" s="25" cm="1">
        <f t="array" ref="AR7">CONCATENATE(AR2," - ",AR6)</f>
        <v>24 - terça</v>
      </c>
      <c r="AS7" t="str" s="25" cm="1">
        <f t="array" ref="AS7">CONCATENATE(AS2," - ",AS6)</f>
        <v>25 - Quarta</v>
      </c>
      <c r="AT7" t="str" s="25" cm="1">
        <f t="array" ref="AT7">CONCATENATE(AT2," - ",AT6)</f>
        <v>26 - Quinta</v>
      </c>
      <c r="AU7" t="str" s="25" cm="1">
        <f t="array" ref="AU7">CONCATENATE(AU2," - ",AU6)</f>
        <v>27 - Sexta</v>
      </c>
      <c r="AV7" t="str" s="25" cm="1">
        <f t="array" ref="AV7">CONCATENATE(AV2," - ",AV6)</f>
        <v>28 - Sabado</v>
      </c>
      <c r="AW7" t="str" s="25" cm="1">
        <f t="array" ref="AW7">CONCATENATE(AW2," - ",AW6)</f>
        <v>29 - Domingo</v>
      </c>
      <c r="AX7" t="str" s="25" cm="1">
        <f t="array" ref="AX7">CONCATENATE(AX2," - ",AX6)</f>
        <v>30 - Segunda</v>
      </c>
      <c r="AY7" t="str" s="25" cm="1">
        <f t="array" ref="AY7">CONCATENATE(AY2," - ",AY6)</f>
        <v>31 - Terça</v>
      </c>
      <c r="AZ7" s="17"/>
    </row>
    <row r="8" ht="14.25" customHeight="1">
      <c r="A8" s="12"/>
      <c r="B8" t="s" s="49">
        <v>60</v>
      </c>
      <c r="C8" s="50" cm="1">
        <f t="array" ref="C8">SUM(C9:C16)</f>
        <v>1857781.84725</v>
      </c>
      <c r="D8" s="51" cm="1">
        <f t="array" ref="D8">SUM(D9:D16)</f>
        <v>1797853.40056452</v>
      </c>
      <c r="E8" s="51" cm="1">
        <f t="array" ref="E8">SUM(E9:E16)</f>
        <v>1492282.55</v>
      </c>
      <c r="F8" s="52" cm="1">
        <f t="array" ref="F8">SUM(F9:F16)</f>
        <v>-365499.29725</v>
      </c>
      <c r="G8" s="50" cm="1">
        <f t="array" ref="G8">C8-E8</f>
        <v>365499.29725</v>
      </c>
      <c r="H8" s="53" cm="1">
        <f t="array" ref="H8">E8/C8</f>
        <v>0.803260378611712</v>
      </c>
      <c r="I8" s="54" cm="1">
        <f t="array" ref="I8">SUM(I9:I16)</f>
        <v>20689.740675</v>
      </c>
      <c r="J8" s="54" cm="1">
        <f t="array" ref="J8">SUM(J9:J16)</f>
        <v>20022.3296854839</v>
      </c>
      <c r="K8" s="54" cm="1">
        <f t="array" ref="K8">SUM(K9:K16)</f>
        <v>17776</v>
      </c>
      <c r="L8" s="55" cm="1">
        <f t="array" ref="L8">K8-I8</f>
        <v>-2913.740675</v>
      </c>
      <c r="M8" s="56" cm="1">
        <f t="array" ref="M8">I8-K8</f>
        <v>2913.740675</v>
      </c>
      <c r="N8" s="57"/>
      <c r="O8" s="58" cm="1">
        <f t="array" ref="O8">SUMPRODUCT(O9:O17,D9:D17)/D8</f>
        <v>95.506224032785</v>
      </c>
      <c r="P8" s="58" cm="1">
        <f t="array" ref="P8">SUMPRODUCT(P9:P17,E9:E17)/E8</f>
        <v>100.734443912896</v>
      </c>
      <c r="Q8" s="59" cm="1">
        <f t="array" ref="Q8">P8-O8</f>
        <v>5.228219880111</v>
      </c>
      <c r="R8" s="60"/>
      <c r="S8" s="61">
        <v>1</v>
      </c>
      <c r="T8" t="s" s="62">
        <v>61</v>
      </c>
      <c r="U8" s="63">
        <v>46426.11</v>
      </c>
      <c r="V8" s="63">
        <v>30935.49</v>
      </c>
      <c r="W8" s="63">
        <v>43473.53</v>
      </c>
      <c r="X8" s="63">
        <v>42587.27</v>
      </c>
      <c r="Y8" s="63">
        <v>42358.32</v>
      </c>
      <c r="Z8" s="63">
        <v>49202.11</v>
      </c>
      <c r="AA8" s="63">
        <v>56046.07</v>
      </c>
      <c r="AB8" s="63">
        <v>49789.3</v>
      </c>
      <c r="AC8" s="63">
        <v>32538.16</v>
      </c>
      <c r="AD8" s="63">
        <v>43699.93</v>
      </c>
      <c r="AE8" s="63">
        <v>41690</v>
      </c>
      <c r="AF8" s="63">
        <v>46329.08</v>
      </c>
      <c r="AG8" s="63">
        <v>62008.8</v>
      </c>
      <c r="AH8" s="63">
        <v>72757.960000000006</v>
      </c>
      <c r="AI8" s="63">
        <v>53898.15</v>
      </c>
      <c r="AJ8" s="63">
        <v>38417</v>
      </c>
      <c r="AK8" s="63">
        <v>39221</v>
      </c>
      <c r="AL8" s="63">
        <v>51440</v>
      </c>
      <c r="AM8" s="63">
        <v>45234</v>
      </c>
      <c r="AN8" s="63">
        <v>58052</v>
      </c>
      <c r="AO8" s="63">
        <v>66982</v>
      </c>
      <c r="AP8" s="63">
        <v>55652</v>
      </c>
      <c r="AQ8" s="63">
        <v>37445.44</v>
      </c>
      <c r="AR8" s="63">
        <v>45686.91</v>
      </c>
      <c r="AS8" s="63">
        <v>44942</v>
      </c>
      <c r="AT8" s="63">
        <v>42992.51</v>
      </c>
      <c r="AU8" s="63">
        <v>49382.33</v>
      </c>
      <c r="AV8" s="63">
        <v>67237.37</v>
      </c>
      <c r="AW8" s="63">
        <v>51970.35</v>
      </c>
      <c r="AX8" s="63">
        <v>37778</v>
      </c>
      <c r="AY8" s="63">
        <v>47414.13</v>
      </c>
      <c r="AZ8" s="17"/>
    </row>
    <row r="9" ht="16.5" customHeight="1">
      <c r="A9" s="12"/>
      <c r="B9" t="s" s="64">
        <v>62</v>
      </c>
      <c r="C9" s="65">
        <v>900000</v>
      </c>
      <c r="D9" s="66" cm="1">
        <f t="array" ref="D9">C9*30/31</f>
        <v>870967.741935484</v>
      </c>
      <c r="E9" s="67" cm="1">
        <f t="array" ref="E9">954064.01-E10</f>
        <v>744324.25</v>
      </c>
      <c r="F9" s="68" cm="1">
        <f t="array" ref="F9">E9-C9</f>
        <v>-155675.75</v>
      </c>
      <c r="G9" s="69" cm="1">
        <f t="array" ref="G9">C9-E9</f>
        <v>155675.75</v>
      </c>
      <c r="H9" s="70" cm="1">
        <f t="array" ref="H9">E9/C9</f>
        <v>0.827026944444444</v>
      </c>
      <c r="I9" s="71">
        <v>9000</v>
      </c>
      <c r="J9" s="66" cm="1">
        <f t="array" ref="J9">I9*30/31</f>
        <v>8709.677419354841</v>
      </c>
      <c r="K9" s="72" cm="1">
        <f t="array" ref="K9">9612-K10</f>
        <v>6724</v>
      </c>
      <c r="L9" s="73" cm="1">
        <f t="array" ref="L9">K9-I9</f>
        <v>-2276</v>
      </c>
      <c r="M9" s="74" cm="1">
        <f t="array" ref="M9">I9-K9</f>
        <v>2276</v>
      </c>
      <c r="N9" s="29"/>
      <c r="O9" s="75">
        <v>100</v>
      </c>
      <c r="P9" s="69" cm="1">
        <f t="array" ref="P9">E9/K9</f>
        <v>110.696646341463</v>
      </c>
      <c r="Q9" s="76" cm="1">
        <f t="array" ref="Q9">P9-O9</f>
        <v>10.696646341463</v>
      </c>
      <c r="R9" s="60"/>
      <c r="S9" s="61" cm="1">
        <f t="array" ref="S9">S8+1</f>
        <v>2</v>
      </c>
      <c r="T9" t="s" s="77">
        <v>63</v>
      </c>
      <c r="U9" s="78">
        <v>30767.61</v>
      </c>
      <c r="V9" s="78">
        <v>26666.83</v>
      </c>
      <c r="W9" s="78">
        <v>30408.13</v>
      </c>
      <c r="X9" s="78">
        <v>30625</v>
      </c>
      <c r="Y9" s="78">
        <v>31085.68</v>
      </c>
      <c r="Z9" s="78">
        <v>25861.94</v>
      </c>
      <c r="AA9" s="78">
        <v>37316.81</v>
      </c>
      <c r="AB9" s="78">
        <v>27971.26</v>
      </c>
      <c r="AC9" s="78">
        <v>26817.41</v>
      </c>
      <c r="AD9" s="78">
        <v>29473.35</v>
      </c>
      <c r="AE9" s="78">
        <v>30667.45</v>
      </c>
      <c r="AF9" s="78">
        <v>34396.58</v>
      </c>
      <c r="AG9" s="78">
        <v>39670.35</v>
      </c>
      <c r="AH9" s="78">
        <v>45007.84</v>
      </c>
      <c r="AI9" s="78">
        <v>32449.79</v>
      </c>
      <c r="AJ9" s="78">
        <v>32285.78</v>
      </c>
      <c r="AK9" s="78">
        <v>30311.64</v>
      </c>
      <c r="AL9" s="78">
        <v>38897.5</v>
      </c>
      <c r="AM9" s="78">
        <v>29851.57</v>
      </c>
      <c r="AN9" s="78">
        <v>32593.31</v>
      </c>
      <c r="AO9" s="78">
        <v>32379.49</v>
      </c>
      <c r="AP9" s="78">
        <v>25788.27</v>
      </c>
      <c r="AQ9" s="78">
        <v>29131.29</v>
      </c>
      <c r="AR9" s="78">
        <v>29746.77</v>
      </c>
      <c r="AS9" s="78">
        <v>28802.02</v>
      </c>
      <c r="AT9" s="78">
        <v>27299.78</v>
      </c>
      <c r="AU9" s="78">
        <v>29767.85</v>
      </c>
      <c r="AV9" s="78">
        <v>31166.66</v>
      </c>
      <c r="AW9" s="78">
        <v>24375.08</v>
      </c>
      <c r="AX9" s="78">
        <v>21289</v>
      </c>
      <c r="AY9" s="78">
        <v>31191.72</v>
      </c>
      <c r="AZ9" s="17"/>
    </row>
    <row r="10" ht="16" customHeight="1">
      <c r="A10" s="12"/>
      <c r="B10" t="s" s="79">
        <v>64</v>
      </c>
      <c r="C10" s="80">
        <v>225031.84725</v>
      </c>
      <c r="D10" s="81" cm="1">
        <f t="array" ref="D10">C10*30/31</f>
        <v>217772.755403226</v>
      </c>
      <c r="E10" s="82" cm="1">
        <f t="array" ref="E10">155974.73+53765.03</f>
        <v>209739.76</v>
      </c>
      <c r="F10" s="83" cm="1">
        <f t="array" ref="F10">E10-C10</f>
        <v>-15292.08725</v>
      </c>
      <c r="G10" s="78" cm="1">
        <f t="array" ref="G10">C10-E10</f>
        <v>15292.08725</v>
      </c>
      <c r="H10" s="84" cm="1">
        <f t="array" ref="H10">E10/C10</f>
        <v>0.93204478638523</v>
      </c>
      <c r="I10" s="85">
        <v>3214.740675</v>
      </c>
      <c r="J10" s="81" cm="1">
        <f t="array" ref="J10">I10*30/31</f>
        <v>3111.039362903230</v>
      </c>
      <c r="K10" s="86">
        <v>2888</v>
      </c>
      <c r="L10" s="87" cm="1">
        <f t="array" ref="L10">K10-I10</f>
        <v>-326.740675</v>
      </c>
      <c r="M10" s="88" cm="1">
        <f t="array" ref="M10">I10-K10</f>
        <v>326.740675</v>
      </c>
      <c r="N10" s="29"/>
      <c r="O10" s="89">
        <v>70</v>
      </c>
      <c r="P10" s="78" cm="1">
        <f t="array" ref="P10">E10/K10</f>
        <v>72.62457063711911</v>
      </c>
      <c r="Q10" s="76" cm="1">
        <f t="array" ref="Q10">P10-O10</f>
        <v>2.6245706371191</v>
      </c>
      <c r="R10" s="60"/>
      <c r="S10" s="61" cm="1">
        <f t="array" ref="S10">S9+1</f>
        <v>3</v>
      </c>
      <c r="T10" t="s" s="77">
        <v>65</v>
      </c>
      <c r="U10" s="78">
        <v>11560.01</v>
      </c>
      <c r="V10" s="78">
        <v>0</v>
      </c>
      <c r="W10" s="78">
        <v>5441.87</v>
      </c>
      <c r="X10" s="78">
        <v>5012.11</v>
      </c>
      <c r="Y10" s="78">
        <v>5419.18</v>
      </c>
      <c r="Z10" s="78">
        <v>17059</v>
      </c>
      <c r="AA10" s="78">
        <v>14323.22</v>
      </c>
      <c r="AB10" s="78">
        <v>16709.1</v>
      </c>
      <c r="AC10" s="78">
        <v>0</v>
      </c>
      <c r="AD10" s="78">
        <v>6032.91</v>
      </c>
      <c r="AE10" s="78">
        <v>3653.53</v>
      </c>
      <c r="AF10" s="78">
        <v>4577.41</v>
      </c>
      <c r="AG10" s="78">
        <v>11764.74</v>
      </c>
      <c r="AH10" s="78">
        <v>16143.66</v>
      </c>
      <c r="AI10" s="78">
        <v>15979.61</v>
      </c>
      <c r="AJ10" s="78">
        <v>0</v>
      </c>
      <c r="AK10" s="78">
        <v>2687.73</v>
      </c>
      <c r="AL10" s="78">
        <v>5884.99</v>
      </c>
      <c r="AM10" s="78">
        <v>5980.66</v>
      </c>
      <c r="AN10" s="78">
        <v>8835.860000000001</v>
      </c>
      <c r="AO10" s="78">
        <v>14871.69</v>
      </c>
      <c r="AP10" s="78">
        <v>15669.79</v>
      </c>
      <c r="AQ10" s="78">
        <v>0</v>
      </c>
      <c r="AR10" s="78">
        <v>5414.42</v>
      </c>
      <c r="AS10" s="78">
        <v>4829.04</v>
      </c>
      <c r="AT10" s="78">
        <v>5532.28</v>
      </c>
      <c r="AU10" s="78">
        <v>8690.870000000001</v>
      </c>
      <c r="AV10" s="78">
        <v>22294.67</v>
      </c>
      <c r="AW10" s="90">
        <v>17889.85</v>
      </c>
      <c r="AX10" s="91">
        <v>0</v>
      </c>
      <c r="AY10" s="91">
        <v>6109.94</v>
      </c>
      <c r="AZ10" s="17"/>
    </row>
    <row r="11" ht="16" customHeight="1">
      <c r="A11" s="12"/>
      <c r="B11" t="s" s="79">
        <v>65</v>
      </c>
      <c r="C11" s="80">
        <v>378000</v>
      </c>
      <c r="D11" s="81" cm="1">
        <f t="array" ref="D11">C11*30/31</f>
        <v>365806.451612903</v>
      </c>
      <c r="E11" s="82" cm="1">
        <f t="array" ref="E11">SUM(U10:AY10)</f>
        <v>258368.14</v>
      </c>
      <c r="F11" s="83" cm="1">
        <f t="array" ref="F11">E11-C11</f>
        <v>-119631.86</v>
      </c>
      <c r="G11" s="78" cm="1">
        <f t="array" ref="G11">C11-E11</f>
        <v>119631.86</v>
      </c>
      <c r="H11" s="84" cm="1">
        <f t="array" ref="H11">E11/C11</f>
        <v>0.683513597883598</v>
      </c>
      <c r="I11" s="85">
        <v>3150</v>
      </c>
      <c r="J11" s="81" cm="1">
        <f t="array" ref="J11">I11*30/31</f>
        <v>3048.387096774190</v>
      </c>
      <c r="K11" s="86">
        <v>1730</v>
      </c>
      <c r="L11" s="87" cm="1">
        <f t="array" ref="L11">K11-I11</f>
        <v>-1420</v>
      </c>
      <c r="M11" s="88" cm="1">
        <f t="array" ref="M11">I11-K11</f>
        <v>1420</v>
      </c>
      <c r="N11" s="78"/>
      <c r="O11" s="89">
        <v>120</v>
      </c>
      <c r="P11" s="78">
        <v>149</v>
      </c>
      <c r="Q11" s="76" cm="1">
        <f t="array" ref="Q11">P11-O11</f>
        <v>29</v>
      </c>
      <c r="R11" s="60"/>
      <c r="S11" s="61" cm="1">
        <f t="array" ref="S11">S10+1</f>
        <v>4</v>
      </c>
      <c r="T11" t="s" s="77">
        <v>66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527.99</v>
      </c>
      <c r="AI11" s="78">
        <v>213.78</v>
      </c>
      <c r="AJ11" s="78">
        <v>333.56</v>
      </c>
      <c r="AK11" s="78">
        <v>0</v>
      </c>
      <c r="AL11" s="78">
        <v>0</v>
      </c>
      <c r="AM11" s="78">
        <v>1043</v>
      </c>
      <c r="AN11" s="78">
        <v>3997</v>
      </c>
      <c r="AO11" s="78">
        <v>4362</v>
      </c>
      <c r="AP11" s="78">
        <v>5414</v>
      </c>
      <c r="AQ11" s="78">
        <v>3282.34</v>
      </c>
      <c r="AR11" s="78">
        <v>2961.2</v>
      </c>
      <c r="AS11" s="78">
        <v>2968.09</v>
      </c>
      <c r="AT11" s="78">
        <v>2913.87</v>
      </c>
      <c r="AU11" s="78">
        <v>3651.22</v>
      </c>
      <c r="AV11" s="78">
        <v>3429.2</v>
      </c>
      <c r="AW11" s="90">
        <v>5408.42</v>
      </c>
      <c r="AX11" s="78">
        <v>8865.959999999999</v>
      </c>
      <c r="AY11" s="78">
        <v>3058</v>
      </c>
      <c r="AZ11" s="92">
        <v>0</v>
      </c>
    </row>
    <row r="12" ht="16" customHeight="1">
      <c r="A12" s="12"/>
      <c r="B12" t="s" s="79">
        <v>66</v>
      </c>
      <c r="C12" s="80">
        <v>150000</v>
      </c>
      <c r="D12" s="81" cm="1">
        <f t="array" ref="D12">C12*30/31</f>
        <v>145161.290322581</v>
      </c>
      <c r="E12" s="82" cm="1">
        <f t="array" ref="E12">SUM(U11:AY11)</f>
        <v>52429.63</v>
      </c>
      <c r="F12" s="83" cm="1">
        <f t="array" ref="F12">E12-C12</f>
        <v>-97570.37</v>
      </c>
      <c r="G12" s="78" cm="1">
        <f t="array" ref="G12">C12-E12</f>
        <v>97570.37</v>
      </c>
      <c r="H12" s="84" cm="1">
        <f t="array" ref="H12">E12/C12</f>
        <v>0.349530866666667</v>
      </c>
      <c r="I12" s="85">
        <v>1500</v>
      </c>
      <c r="J12" s="81" cm="1">
        <f t="array" ref="J12">I12*30/31</f>
        <v>1451.612903225810</v>
      </c>
      <c r="K12" s="86">
        <v>590</v>
      </c>
      <c r="L12" s="87" cm="1">
        <f t="array" ref="L12">K12-I12</f>
        <v>-910</v>
      </c>
      <c r="M12" s="88" cm="1">
        <f t="array" ref="M12">I12-K12</f>
        <v>910</v>
      </c>
      <c r="N12" s="78"/>
      <c r="O12" s="89">
        <v>100</v>
      </c>
      <c r="P12" s="78">
        <v>90</v>
      </c>
      <c r="Q12" s="87" cm="1">
        <f t="array" ref="Q12">P12-O12</f>
        <v>-10</v>
      </c>
      <c r="R12" s="93"/>
      <c r="S12" s="61" cm="1">
        <f t="array" ref="S12">S11+1</f>
        <v>5</v>
      </c>
      <c r="T12" t="s" s="94">
        <v>67</v>
      </c>
      <c r="U12" s="78">
        <v>1146.41</v>
      </c>
      <c r="V12" s="78">
        <v>1232.63</v>
      </c>
      <c r="W12" s="78">
        <v>1832.05</v>
      </c>
      <c r="X12" s="78">
        <v>1312.23</v>
      </c>
      <c r="Y12" s="78">
        <v>710.55</v>
      </c>
      <c r="Z12" s="78">
        <v>2302.62</v>
      </c>
      <c r="AA12" s="78">
        <v>897.4299999999999</v>
      </c>
      <c r="AB12" s="78">
        <v>1038</v>
      </c>
      <c r="AC12" s="78">
        <v>1722.77</v>
      </c>
      <c r="AD12" s="78">
        <v>1910.98</v>
      </c>
      <c r="AE12" s="78">
        <v>2194.63</v>
      </c>
      <c r="AF12" s="78">
        <v>2061.75</v>
      </c>
      <c r="AG12" s="78">
        <v>2388.89</v>
      </c>
      <c r="AH12" s="78">
        <v>7295.93</v>
      </c>
      <c r="AI12" s="78">
        <v>2247.92</v>
      </c>
      <c r="AJ12" s="78">
        <v>1166.02</v>
      </c>
      <c r="AK12" s="78">
        <v>1134.39</v>
      </c>
      <c r="AL12" s="78">
        <v>1187.61</v>
      </c>
      <c r="AM12" s="78">
        <v>1293.62</v>
      </c>
      <c r="AN12" s="78">
        <v>1786.18</v>
      </c>
      <c r="AO12" s="78">
        <v>2991.09</v>
      </c>
      <c r="AP12" s="78">
        <v>1668.17</v>
      </c>
      <c r="AQ12" s="78">
        <v>1276.64</v>
      </c>
      <c r="AR12" s="78">
        <v>1339.51</v>
      </c>
      <c r="AS12" s="78">
        <v>1224.63</v>
      </c>
      <c r="AT12" s="78">
        <v>1469.85</v>
      </c>
      <c r="AU12" s="78">
        <v>2244.54</v>
      </c>
      <c r="AV12" s="78">
        <v>5290.35</v>
      </c>
      <c r="AW12" s="78">
        <v>926.37</v>
      </c>
      <c r="AX12" s="78">
        <v>1025.4</v>
      </c>
      <c r="AY12" s="78">
        <v>1157.47</v>
      </c>
      <c r="AZ12" s="17"/>
    </row>
    <row r="13" ht="16" customHeight="1">
      <c r="A13" s="12"/>
      <c r="B13" t="s" s="79">
        <v>67</v>
      </c>
      <c r="C13" s="80">
        <v>56250</v>
      </c>
      <c r="D13" s="81" cm="1">
        <f t="array" ref="D13">C13*30/31</f>
        <v>54435.4838709677</v>
      </c>
      <c r="E13" s="82" cm="1">
        <f t="array" ref="E13">SUM(U12:AY12)</f>
        <v>57476.63</v>
      </c>
      <c r="F13" s="78" cm="1">
        <f t="array" ref="F13">E13-C13</f>
        <v>1226.63</v>
      </c>
      <c r="G13" s="78" cm="1">
        <f t="array" ref="G13">C13-E13</f>
        <v>-1226.63</v>
      </c>
      <c r="H13" s="84" cm="1">
        <f t="array" ref="H13">E13/C13</f>
        <v>1.02180675555556</v>
      </c>
      <c r="I13" s="85">
        <v>1125</v>
      </c>
      <c r="J13" s="81" cm="1">
        <f t="array" ref="J13">I13*30/31</f>
        <v>1088.709677419350</v>
      </c>
      <c r="K13" s="86">
        <v>1252</v>
      </c>
      <c r="L13" s="76" cm="1">
        <f t="array" ref="L13">K13-I13</f>
        <v>127</v>
      </c>
      <c r="M13" s="88" cm="1">
        <f t="array" ref="M13">I13-K13</f>
        <v>-127</v>
      </c>
      <c r="N13" s="78"/>
      <c r="O13" s="89">
        <v>50</v>
      </c>
      <c r="P13" s="78">
        <v>46</v>
      </c>
      <c r="Q13" s="87" cm="1">
        <f t="array" ref="Q13">P13-O13</f>
        <v>-4</v>
      </c>
      <c r="R13" s="93"/>
      <c r="S13" s="61" cm="1">
        <f t="array" ref="S13">S12+1</f>
        <v>6</v>
      </c>
      <c r="T13" t="s" s="94">
        <v>68</v>
      </c>
      <c r="U13" s="78">
        <v>1656.25</v>
      </c>
      <c r="V13" s="78">
        <v>1368.53</v>
      </c>
      <c r="W13" s="78">
        <v>1612.29</v>
      </c>
      <c r="X13" s="78">
        <v>1520.52</v>
      </c>
      <c r="Y13" s="78">
        <v>2241.76</v>
      </c>
      <c r="Z13" s="78">
        <v>1775.7</v>
      </c>
      <c r="AA13" s="78">
        <v>1724</v>
      </c>
      <c r="AB13" s="78">
        <v>2488.97</v>
      </c>
      <c r="AC13" s="78">
        <v>1773.84</v>
      </c>
      <c r="AD13" s="78">
        <v>2755.36</v>
      </c>
      <c r="AE13" s="78">
        <v>2135.46</v>
      </c>
      <c r="AF13" s="78">
        <v>2615.99</v>
      </c>
      <c r="AG13" s="78">
        <v>2785.2</v>
      </c>
      <c r="AH13" s="78">
        <v>1592.47</v>
      </c>
      <c r="AI13" s="78">
        <v>1398.7</v>
      </c>
      <c r="AJ13" s="78">
        <v>1741.79</v>
      </c>
      <c r="AK13" s="78">
        <v>2316.01</v>
      </c>
      <c r="AL13" s="78">
        <v>2297.93</v>
      </c>
      <c r="AM13" s="78">
        <v>3027.54</v>
      </c>
      <c r="AN13" s="78">
        <v>2380.11</v>
      </c>
      <c r="AO13" s="78">
        <v>1669.06</v>
      </c>
      <c r="AP13" s="78">
        <v>2190.49</v>
      </c>
      <c r="AQ13" s="78">
        <v>1721.09</v>
      </c>
      <c r="AR13" s="78">
        <v>2443.04</v>
      </c>
      <c r="AS13" s="78">
        <v>1678.77</v>
      </c>
      <c r="AT13" s="78">
        <v>1431.61</v>
      </c>
      <c r="AU13" s="78">
        <v>2795.84</v>
      </c>
      <c r="AV13" s="78">
        <v>1595.75</v>
      </c>
      <c r="AW13" s="78">
        <v>1506.79</v>
      </c>
      <c r="AX13" s="78">
        <v>3734.25</v>
      </c>
      <c r="AY13" s="78">
        <v>2123.46</v>
      </c>
      <c r="AZ13" s="17"/>
    </row>
    <row r="14" ht="16" customHeight="1">
      <c r="A14" s="12"/>
      <c r="B14" t="s" s="79">
        <v>68</v>
      </c>
      <c r="C14" s="80">
        <v>52500</v>
      </c>
      <c r="D14" s="81" cm="1">
        <f t="array" ref="D14">C14*30/31</f>
        <v>50806.4516129032</v>
      </c>
      <c r="E14" s="82" cm="1">
        <f t="array" ref="E14">SUM(U13:AY13)</f>
        <v>64098.57</v>
      </c>
      <c r="F14" s="78" cm="1">
        <f t="array" ref="F14">E14-C14</f>
        <v>11598.57</v>
      </c>
      <c r="G14" s="78" cm="1">
        <f t="array" ref="G14">C14-E14</f>
        <v>-11598.57</v>
      </c>
      <c r="H14" s="84" cm="1">
        <f t="array" ref="H14">E14/C14</f>
        <v>1.22092514285714</v>
      </c>
      <c r="I14" s="85">
        <v>1050</v>
      </c>
      <c r="J14" s="81" cm="1">
        <f t="array" ref="J14">I14*30/31</f>
        <v>1016.129032258060</v>
      </c>
      <c r="K14" s="86">
        <v>1432</v>
      </c>
      <c r="L14" s="76" cm="1">
        <f t="array" ref="L14">K14-I14</f>
        <v>382</v>
      </c>
      <c r="M14" s="88" cm="1">
        <f t="array" ref="M14">I14-K14</f>
        <v>-382</v>
      </c>
      <c r="N14" s="78"/>
      <c r="O14" s="89">
        <v>50</v>
      </c>
      <c r="P14" s="78">
        <v>45</v>
      </c>
      <c r="Q14" s="87" cm="1">
        <f t="array" ref="Q14">P14-O14</f>
        <v>-5</v>
      </c>
      <c r="R14" s="93"/>
      <c r="S14" s="61" cm="1">
        <f t="array" ref="S14">S13+1</f>
        <v>7</v>
      </c>
      <c r="T14" t="s" s="94">
        <v>69</v>
      </c>
      <c r="U14" s="78">
        <v>1295.83</v>
      </c>
      <c r="V14" s="78">
        <v>1271.77</v>
      </c>
      <c r="W14" s="78">
        <v>2418.81</v>
      </c>
      <c r="X14" s="78">
        <v>3162.67</v>
      </c>
      <c r="Y14" s="78">
        <v>2285.71</v>
      </c>
      <c r="Z14" s="78">
        <v>1654.18</v>
      </c>
      <c r="AA14" s="78">
        <v>1293.31</v>
      </c>
      <c r="AB14" s="78">
        <v>1581.97</v>
      </c>
      <c r="AC14" s="78">
        <v>2005.15</v>
      </c>
      <c r="AD14" s="78">
        <v>3042.02</v>
      </c>
      <c r="AE14" s="78">
        <v>1894.79</v>
      </c>
      <c r="AF14" s="78">
        <v>2016.57</v>
      </c>
      <c r="AG14" s="78">
        <v>1564.73</v>
      </c>
      <c r="AH14" s="78">
        <v>1672.08</v>
      </c>
      <c r="AI14" s="78">
        <v>1608.35</v>
      </c>
      <c r="AJ14" s="78">
        <v>2583.57</v>
      </c>
      <c r="AK14" s="78">
        <v>2257.9</v>
      </c>
      <c r="AL14" s="78">
        <v>2494.28</v>
      </c>
      <c r="AM14" s="78">
        <v>2927.28</v>
      </c>
      <c r="AN14" s="78">
        <v>7627.02</v>
      </c>
      <c r="AO14" s="78">
        <v>10327.39</v>
      </c>
      <c r="AP14" s="78">
        <v>4921.76</v>
      </c>
      <c r="AQ14" s="78">
        <v>1918.66</v>
      </c>
      <c r="AR14" s="78">
        <v>2741.66</v>
      </c>
      <c r="AS14" s="78">
        <v>3570.04</v>
      </c>
      <c r="AT14" s="78">
        <v>2961.79</v>
      </c>
      <c r="AU14" s="78">
        <v>1195.28</v>
      </c>
      <c r="AV14" s="78">
        <v>2077.55</v>
      </c>
      <c r="AW14" s="78">
        <v>1863.84</v>
      </c>
      <c r="AX14" s="78">
        <v>2519.29</v>
      </c>
      <c r="AY14" s="78">
        <v>2999.38</v>
      </c>
      <c r="AZ14" s="17"/>
    </row>
    <row r="15" ht="16" customHeight="1">
      <c r="A15" s="12"/>
      <c r="B15" t="s" s="79">
        <v>69</v>
      </c>
      <c r="C15" s="78">
        <v>60000</v>
      </c>
      <c r="D15" s="81" cm="1">
        <f t="array" ref="D15">C15*30/31</f>
        <v>58064.5161290323</v>
      </c>
      <c r="E15" s="95" cm="1">
        <f t="array" ref="E15">SUM(U14:AY14)</f>
        <v>83754.63</v>
      </c>
      <c r="F15" s="86" cm="1">
        <f t="array" ref="F15">E15-C15</f>
        <v>23754.63</v>
      </c>
      <c r="G15" s="78" cm="1">
        <f t="array" ref="G15">C15-E15</f>
        <v>-23754.63</v>
      </c>
      <c r="H15" s="84" cm="1">
        <f t="array" ref="H15">E15/C15</f>
        <v>1.3959105</v>
      </c>
      <c r="I15" s="85">
        <v>1200</v>
      </c>
      <c r="J15" s="81" cm="1">
        <f t="array" ref="J15">I15*30/31</f>
        <v>1161.290322580650</v>
      </c>
      <c r="K15" s="86">
        <v>2840</v>
      </c>
      <c r="L15" s="76" cm="1">
        <f t="array" ref="L15">K15-I15</f>
        <v>1640</v>
      </c>
      <c r="M15" s="88" cm="1">
        <f t="array" ref="M15">I15-K15</f>
        <v>-1640</v>
      </c>
      <c r="N15" s="78"/>
      <c r="O15" s="89">
        <v>50</v>
      </c>
      <c r="P15" s="78">
        <v>29</v>
      </c>
      <c r="Q15" s="87" cm="1">
        <f t="array" ref="Q15">P15-O15</f>
        <v>-21</v>
      </c>
      <c r="R15" s="93"/>
      <c r="S15" s="61" cm="1">
        <f t="array" ref="S15">S14+1</f>
        <v>8</v>
      </c>
      <c r="T15" t="s" s="94">
        <v>70</v>
      </c>
      <c r="U15" s="78">
        <v>0</v>
      </c>
      <c r="V15" s="78">
        <v>395.73</v>
      </c>
      <c r="W15" s="78">
        <v>1760.38</v>
      </c>
      <c r="X15" s="78">
        <v>954.74</v>
      </c>
      <c r="Y15" s="78">
        <v>615.4400000000001</v>
      </c>
      <c r="Z15" s="78">
        <v>548.38</v>
      </c>
      <c r="AA15" s="78">
        <v>491.3</v>
      </c>
      <c r="AB15" s="78">
        <v>0</v>
      </c>
      <c r="AC15" s="78">
        <v>218.99</v>
      </c>
      <c r="AD15" s="78">
        <v>485.31</v>
      </c>
      <c r="AE15" s="78">
        <v>1144.14</v>
      </c>
      <c r="AF15" s="78">
        <v>660.78</v>
      </c>
      <c r="AG15" s="78">
        <v>3328.04</v>
      </c>
      <c r="AH15" s="78">
        <v>517.99</v>
      </c>
      <c r="AI15" s="78">
        <v>0</v>
      </c>
      <c r="AJ15" s="78">
        <v>306.7</v>
      </c>
      <c r="AK15" s="78">
        <v>213.97</v>
      </c>
      <c r="AL15" s="78">
        <v>718.1900000000001</v>
      </c>
      <c r="AM15" s="78">
        <v>1109.72</v>
      </c>
      <c r="AN15" s="78">
        <v>832.01</v>
      </c>
      <c r="AO15" s="78">
        <v>472.38</v>
      </c>
      <c r="AP15" s="78">
        <v>0</v>
      </c>
      <c r="AQ15" s="78">
        <v>115.42</v>
      </c>
      <c r="AR15" s="78">
        <v>1040.31</v>
      </c>
      <c r="AS15" s="78">
        <v>1869.41</v>
      </c>
      <c r="AT15" s="78">
        <v>1383.33</v>
      </c>
      <c r="AU15" s="78">
        <v>1036.73</v>
      </c>
      <c r="AV15" s="78">
        <v>753.1900000000001</v>
      </c>
      <c r="AW15" s="78">
        <v>0</v>
      </c>
      <c r="AX15" s="78">
        <v>344.2</v>
      </c>
      <c r="AY15" s="78">
        <v>774.16</v>
      </c>
      <c r="AZ15" s="17"/>
    </row>
    <row r="16" ht="16" customHeight="1">
      <c r="A16" s="12"/>
      <c r="B16" t="s" s="96">
        <v>70</v>
      </c>
      <c r="C16" s="78">
        <v>36000</v>
      </c>
      <c r="D16" s="81" cm="1">
        <f t="array" ref="D16">C16*30/31</f>
        <v>34838.7096774194</v>
      </c>
      <c r="E16" s="97" cm="1">
        <f t="array" ref="E16">SUM(U15:AY15)</f>
        <v>22090.94</v>
      </c>
      <c r="F16" s="98" cm="1">
        <f t="array" ref="F16">E16-C16</f>
        <v>-13909.06</v>
      </c>
      <c r="G16" s="99" cm="1">
        <f t="array" ref="G16">C16-E16</f>
        <v>13909.06</v>
      </c>
      <c r="H16" s="84" cm="1">
        <f t="array" ref="H16">E16/C16</f>
        <v>0.6136372222222219</v>
      </c>
      <c r="I16" s="85">
        <v>450</v>
      </c>
      <c r="J16" s="81" cm="1">
        <f t="array" ref="J16">I16*30/31</f>
        <v>435.483870967742</v>
      </c>
      <c r="K16" s="86">
        <v>320</v>
      </c>
      <c r="L16" s="87" cm="1">
        <f t="array" ref="L16">K16-I16</f>
        <v>-130</v>
      </c>
      <c r="M16" s="100" cm="1">
        <f t="array" ref="M16">I16-K16</f>
        <v>130</v>
      </c>
      <c r="N16" s="78"/>
      <c r="O16" s="89">
        <v>80</v>
      </c>
      <c r="P16" s="78" cm="1">
        <f t="array" ref="P16">E16/K16</f>
        <v>69.0341875</v>
      </c>
      <c r="Q16" s="87" cm="1">
        <f t="array" ref="Q16">P16-O16</f>
        <v>-10.9658125</v>
      </c>
      <c r="R16" s="83"/>
      <c r="S16" s="101"/>
      <c r="T16" s="13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7"/>
    </row>
    <row r="17" ht="16" customHeight="1">
      <c r="A17" s="12"/>
      <c r="B17" t="s" s="102">
        <v>71</v>
      </c>
      <c r="C17" s="103" cm="1">
        <f t="array" ref="C17">C8/31</f>
        <v>59928.4466854839</v>
      </c>
      <c r="D17" s="104" cm="1">
        <f t="array" ref="D17">D8/30</f>
        <v>59928.446685484</v>
      </c>
      <c r="E17" s="105" cm="1">
        <f t="array" ref="E17">E8/31</f>
        <v>48138.1467741935</v>
      </c>
      <c r="F17" s="105" cm="1">
        <f t="array" ref="F17">F8/31</f>
        <v>-11790.2999112903</v>
      </c>
      <c r="G17" s="106" cm="1">
        <f t="array" ref="G17">G8/(31-30)</f>
        <v>365499.29725</v>
      </c>
      <c r="H17" s="107" cm="1">
        <f t="array" ref="H17">E17/C17</f>
        <v>0.80326037861171</v>
      </c>
      <c r="I17" s="85" cm="1">
        <f t="array" ref="I17">I8/31</f>
        <v>667.410989516129</v>
      </c>
      <c r="J17" s="81" cm="1">
        <f t="array" ref="J17">I17*30/31</f>
        <v>645.881602757544</v>
      </c>
      <c r="K17" s="108" cm="1">
        <f t="array" ref="K17">K8/30</f>
        <v>592.533333333333</v>
      </c>
      <c r="L17" s="109" cm="1">
        <f t="array" ref="L17">L8/31</f>
        <v>-93.9916346774194</v>
      </c>
      <c r="M17" s="106" cm="1">
        <f t="array" ref="M17">M8/(31-30)</f>
        <v>2913.740675</v>
      </c>
      <c r="N17" s="110"/>
      <c r="O17" s="13"/>
      <c r="P17" s="13"/>
      <c r="Q17" s="13"/>
      <c r="R17" s="111"/>
      <c r="S17" s="61">
        <v>1</v>
      </c>
      <c r="T17" t="s" s="112">
        <v>72</v>
      </c>
      <c r="U17" s="63">
        <v>59928.4466854839</v>
      </c>
      <c r="V17" s="63">
        <v>59928.4466854839</v>
      </c>
      <c r="W17" s="63">
        <v>59928.4466854839</v>
      </c>
      <c r="X17" s="63">
        <v>59928.4466854839</v>
      </c>
      <c r="Y17" s="63">
        <v>59928.4466854839</v>
      </c>
      <c r="Z17" s="63">
        <v>59928.4466854839</v>
      </c>
      <c r="AA17" s="63">
        <v>59928.4466854839</v>
      </c>
      <c r="AB17" s="63">
        <v>59928.4466854839</v>
      </c>
      <c r="AC17" s="63">
        <v>59928.4466854839</v>
      </c>
      <c r="AD17" s="63">
        <v>59928.4466854839</v>
      </c>
      <c r="AE17" s="63">
        <v>59928.4466854839</v>
      </c>
      <c r="AF17" s="63">
        <v>59928.4466854839</v>
      </c>
      <c r="AG17" s="63">
        <v>59928.4466854839</v>
      </c>
      <c r="AH17" s="63">
        <v>59928.4466854839</v>
      </c>
      <c r="AI17" s="63">
        <v>59928.4466854839</v>
      </c>
      <c r="AJ17" s="63">
        <v>59928.4466854839</v>
      </c>
      <c r="AK17" s="63">
        <v>59928.4466854839</v>
      </c>
      <c r="AL17" s="63">
        <v>59928.4466854839</v>
      </c>
      <c r="AM17" s="63">
        <v>59928.4466854839</v>
      </c>
      <c r="AN17" s="63">
        <v>59928.4466854839</v>
      </c>
      <c r="AO17" s="63">
        <v>59928.4466854839</v>
      </c>
      <c r="AP17" s="63">
        <v>59928.4466854839</v>
      </c>
      <c r="AQ17" s="63">
        <v>59928.4466854839</v>
      </c>
      <c r="AR17" s="63">
        <v>59928.4466854839</v>
      </c>
      <c r="AS17" s="63">
        <v>59928.4466854839</v>
      </c>
      <c r="AT17" s="63">
        <v>59928.4466854839</v>
      </c>
      <c r="AU17" s="63">
        <v>59928.4466854839</v>
      </c>
      <c r="AV17" s="63">
        <v>59928.4466854839</v>
      </c>
      <c r="AW17" s="63">
        <v>59928.4466854839</v>
      </c>
      <c r="AX17" s="63">
        <v>59928.4466854839</v>
      </c>
      <c r="AY17" s="63">
        <v>59928.4466854839</v>
      </c>
      <c r="AZ17" s="17"/>
    </row>
    <row r="18" ht="16" customHeight="1">
      <c r="A18" s="12"/>
      <c r="B18" s="1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11"/>
      <c r="S18" s="61" cm="1">
        <f t="array" ref="S18">S17+1</f>
        <v>2</v>
      </c>
      <c r="T18" t="s" s="94">
        <v>73</v>
      </c>
      <c r="U18" s="78">
        <v>36291.3499112903</v>
      </c>
      <c r="V18" s="78" cm="1">
        <f t="array" ref="V18">U18</f>
        <v>36291.3499112903</v>
      </c>
      <c r="W18" s="78" cm="1">
        <f t="array" ref="W18">V18</f>
        <v>36291.3499112903</v>
      </c>
      <c r="X18" s="78" cm="1">
        <f t="array" ref="X18">W18</f>
        <v>36291.3499112903</v>
      </c>
      <c r="Y18" s="78" cm="1">
        <f t="array" ref="Y18">X18</f>
        <v>36291.3499112903</v>
      </c>
      <c r="Z18" s="78" cm="1">
        <f t="array" ref="Z18">Y18</f>
        <v>36291.3499112903</v>
      </c>
      <c r="AA18" s="78" cm="1">
        <f t="array" ref="AA18">Z18</f>
        <v>36291.3499112903</v>
      </c>
      <c r="AB18" s="78" cm="1">
        <f t="array" ref="AB18">AA18</f>
        <v>36291.3499112903</v>
      </c>
      <c r="AC18" s="78" cm="1">
        <f t="array" ref="AC18">AB18</f>
        <v>36291.3499112903</v>
      </c>
      <c r="AD18" s="78" cm="1">
        <f t="array" ref="AD18">AC18</f>
        <v>36291.3499112903</v>
      </c>
      <c r="AE18" s="78" cm="1">
        <f t="array" ref="AE18">AD18</f>
        <v>36291.3499112903</v>
      </c>
      <c r="AF18" s="78" cm="1">
        <f t="array" ref="AF18">AE18</f>
        <v>36291.3499112903</v>
      </c>
      <c r="AG18" s="78" cm="1">
        <f t="array" ref="AG18">AF18</f>
        <v>36291.3499112903</v>
      </c>
      <c r="AH18" s="78" cm="1">
        <f t="array" ref="AH18">AG18</f>
        <v>36291.3499112903</v>
      </c>
      <c r="AI18" s="78" cm="1">
        <f t="array" ref="AI18">AH18</f>
        <v>36291.3499112903</v>
      </c>
      <c r="AJ18" s="78" cm="1">
        <f t="array" ref="AJ18">AI18</f>
        <v>36291.3499112903</v>
      </c>
      <c r="AK18" s="78" cm="1">
        <f t="array" ref="AK18">AJ18</f>
        <v>36291.3499112903</v>
      </c>
      <c r="AL18" s="78" cm="1">
        <f t="array" ref="AL18">AK18</f>
        <v>36291.3499112903</v>
      </c>
      <c r="AM18" s="78" cm="1">
        <f t="array" ref="AM18">AL18</f>
        <v>36291.3499112903</v>
      </c>
      <c r="AN18" s="78" cm="1">
        <f t="array" ref="AN18">AM18</f>
        <v>36291.3499112903</v>
      </c>
      <c r="AO18" s="78" cm="1">
        <f t="array" ref="AO18">AN18</f>
        <v>36291.3499112903</v>
      </c>
      <c r="AP18" s="78" cm="1">
        <f t="array" ref="AP18">AO18</f>
        <v>36291.3499112903</v>
      </c>
      <c r="AQ18" s="78" cm="1">
        <f t="array" ref="AQ18">AP18</f>
        <v>36291.3499112903</v>
      </c>
      <c r="AR18" s="78" cm="1">
        <f t="array" ref="AR18">AQ18</f>
        <v>36291.3499112903</v>
      </c>
      <c r="AS18" s="78" cm="1">
        <f t="array" ref="AS18">AR18</f>
        <v>36291.3499112903</v>
      </c>
      <c r="AT18" s="78" cm="1">
        <f t="array" ref="AT18">AS18</f>
        <v>36291.3499112903</v>
      </c>
      <c r="AU18" s="78" cm="1">
        <f t="array" ref="AU18">AT18</f>
        <v>36291.3499112903</v>
      </c>
      <c r="AV18" s="78" cm="1">
        <f t="array" ref="AV18">AU18</f>
        <v>36291.3499112903</v>
      </c>
      <c r="AW18" s="78" cm="1">
        <f t="array" ref="AW18">AV18</f>
        <v>36291.3499112903</v>
      </c>
      <c r="AX18" s="78" cm="1">
        <f t="array" ref="AX18">AW18</f>
        <v>36291.3499112903</v>
      </c>
      <c r="AY18" s="78" cm="1">
        <f t="array" ref="AY18">AX18</f>
        <v>36291.3499112903</v>
      </c>
      <c r="AZ18" s="17"/>
    </row>
    <row r="19" ht="16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14"/>
      <c r="O19" s="115"/>
      <c r="P19" s="115"/>
      <c r="Q19" s="115"/>
      <c r="R19" s="116"/>
      <c r="S19" s="61" cm="1">
        <f t="array" ref="S19">S18+1</f>
        <v>3</v>
      </c>
      <c r="T19" t="s" s="94">
        <v>74</v>
      </c>
      <c r="U19" s="78">
        <v>12193.5483870968</v>
      </c>
      <c r="V19" s="78" cm="1">
        <f t="array" ref="V19">U19</f>
        <v>12193.5483870968</v>
      </c>
      <c r="W19" s="78" cm="1">
        <f t="array" ref="W19">V19</f>
        <v>12193.5483870968</v>
      </c>
      <c r="X19" s="78" cm="1">
        <f t="array" ref="X19">W19</f>
        <v>12193.5483870968</v>
      </c>
      <c r="Y19" s="78" cm="1">
        <f t="array" ref="Y19">X19</f>
        <v>12193.5483870968</v>
      </c>
      <c r="Z19" s="78" cm="1">
        <f t="array" ref="Z19">Y19</f>
        <v>12193.5483870968</v>
      </c>
      <c r="AA19" s="78" cm="1">
        <f t="array" ref="AA19">Z19</f>
        <v>12193.5483870968</v>
      </c>
      <c r="AB19" s="78" cm="1">
        <f t="array" ref="AB19">AA19</f>
        <v>12193.5483870968</v>
      </c>
      <c r="AC19" s="78" cm="1">
        <f t="array" ref="AC19">AB19</f>
        <v>12193.5483870968</v>
      </c>
      <c r="AD19" s="78" cm="1">
        <f t="array" ref="AD19">AC19</f>
        <v>12193.5483870968</v>
      </c>
      <c r="AE19" s="78" cm="1">
        <f t="array" ref="AE19">AD19</f>
        <v>12193.5483870968</v>
      </c>
      <c r="AF19" s="78" cm="1">
        <f t="array" ref="AF19">AE19</f>
        <v>12193.5483870968</v>
      </c>
      <c r="AG19" s="78" cm="1">
        <f t="array" ref="AG19">AF19</f>
        <v>12193.5483870968</v>
      </c>
      <c r="AH19" s="78" cm="1">
        <f t="array" ref="AH19">AG19</f>
        <v>12193.5483870968</v>
      </c>
      <c r="AI19" s="78" cm="1">
        <f t="array" ref="AI19">AH19</f>
        <v>12193.5483870968</v>
      </c>
      <c r="AJ19" s="78" cm="1">
        <f t="array" ref="AJ19">AI19</f>
        <v>12193.5483870968</v>
      </c>
      <c r="AK19" s="78" cm="1">
        <f t="array" ref="AK19">AJ19</f>
        <v>12193.5483870968</v>
      </c>
      <c r="AL19" s="78" cm="1">
        <f t="array" ref="AL19">AK19</f>
        <v>12193.5483870968</v>
      </c>
      <c r="AM19" s="78" cm="1">
        <f t="array" ref="AM19">AL19</f>
        <v>12193.5483870968</v>
      </c>
      <c r="AN19" s="78" cm="1">
        <f t="array" ref="AN19">AM19</f>
        <v>12193.5483870968</v>
      </c>
      <c r="AO19" s="78" cm="1">
        <f t="array" ref="AO19">AN19</f>
        <v>12193.5483870968</v>
      </c>
      <c r="AP19" s="78" cm="1">
        <f t="array" ref="AP19">AO19</f>
        <v>12193.5483870968</v>
      </c>
      <c r="AQ19" s="78" cm="1">
        <f t="array" ref="AQ19">AP19</f>
        <v>12193.5483870968</v>
      </c>
      <c r="AR19" s="78" cm="1">
        <f t="array" ref="AR19">AQ19</f>
        <v>12193.5483870968</v>
      </c>
      <c r="AS19" s="78" cm="1">
        <f t="array" ref="AS19">AR19</f>
        <v>12193.5483870968</v>
      </c>
      <c r="AT19" s="78" cm="1">
        <f t="array" ref="AT19">AS19</f>
        <v>12193.5483870968</v>
      </c>
      <c r="AU19" s="78" cm="1">
        <f t="array" ref="AU19">AT19</f>
        <v>12193.5483870968</v>
      </c>
      <c r="AV19" s="78" cm="1">
        <f t="array" ref="AV19">AU19</f>
        <v>12193.5483870968</v>
      </c>
      <c r="AW19" s="78" cm="1">
        <f t="array" ref="AW19">AV19</f>
        <v>12193.5483870968</v>
      </c>
      <c r="AX19" s="78" cm="1">
        <f t="array" ref="AX19">AW19</f>
        <v>12193.5483870968</v>
      </c>
      <c r="AY19" s="78" cm="1">
        <f t="array" ref="AY19">AX19</f>
        <v>12193.5483870968</v>
      </c>
      <c r="AZ19" s="17"/>
    </row>
    <row r="20" ht="16" customHeight="1">
      <c r="A20" s="12"/>
      <c r="B20" s="117"/>
      <c r="C20" s="117"/>
      <c r="D20" s="117"/>
      <c r="E20" s="117"/>
      <c r="F20" s="117"/>
      <c r="G20" s="117"/>
      <c r="H20" s="117"/>
      <c r="I20" s="118"/>
      <c r="J20" s="118"/>
      <c r="K20" s="13"/>
      <c r="L20" s="13"/>
      <c r="M20" s="13"/>
      <c r="N20" s="13"/>
      <c r="O20" s="13"/>
      <c r="P20" s="13"/>
      <c r="Q20" s="13"/>
      <c r="R20" s="111"/>
      <c r="S20" s="61" cm="1">
        <f t="array" ref="S20">S19+1</f>
        <v>4</v>
      </c>
      <c r="T20" t="s" s="94">
        <v>75</v>
      </c>
      <c r="U20" s="78">
        <v>4838.709677419360</v>
      </c>
      <c r="V20" s="78" cm="1">
        <f t="array" ref="V20">U20</f>
        <v>4838.709677419360</v>
      </c>
      <c r="W20" s="78" cm="1">
        <f t="array" ref="W20">V20</f>
        <v>4838.709677419360</v>
      </c>
      <c r="X20" s="78" cm="1">
        <f t="array" ref="X20">W20</f>
        <v>4838.709677419360</v>
      </c>
      <c r="Y20" s="78" cm="1">
        <f t="array" ref="Y20">X20</f>
        <v>4838.709677419360</v>
      </c>
      <c r="Z20" s="78" cm="1">
        <f t="array" ref="Z20">Y20</f>
        <v>4838.709677419360</v>
      </c>
      <c r="AA20" s="78" cm="1">
        <f t="array" ref="AA20">Z20</f>
        <v>4838.709677419360</v>
      </c>
      <c r="AB20" s="78" cm="1">
        <f t="array" ref="AB20">AA20</f>
        <v>4838.709677419360</v>
      </c>
      <c r="AC20" s="78" cm="1">
        <f t="array" ref="AC20">AB20</f>
        <v>4838.709677419360</v>
      </c>
      <c r="AD20" s="78" cm="1">
        <f t="array" ref="AD20">AC20</f>
        <v>4838.709677419360</v>
      </c>
      <c r="AE20" s="78" cm="1">
        <f t="array" ref="AE20">AD20</f>
        <v>4838.709677419360</v>
      </c>
      <c r="AF20" s="78" cm="1">
        <f t="array" ref="AF20">AE20</f>
        <v>4838.709677419360</v>
      </c>
      <c r="AG20" s="78" cm="1">
        <f t="array" ref="AG20">AF20</f>
        <v>4838.709677419360</v>
      </c>
      <c r="AH20" s="78" cm="1">
        <f t="array" ref="AH20">AG20</f>
        <v>4838.709677419360</v>
      </c>
      <c r="AI20" s="78" cm="1">
        <f t="array" ref="AI20">AH20</f>
        <v>4838.709677419360</v>
      </c>
      <c r="AJ20" s="78" cm="1">
        <f t="array" ref="AJ20">AI20</f>
        <v>4838.709677419360</v>
      </c>
      <c r="AK20" s="78" cm="1">
        <f t="array" ref="AK20">AJ20</f>
        <v>4838.709677419360</v>
      </c>
      <c r="AL20" s="78" cm="1">
        <f t="array" ref="AL20">AK20</f>
        <v>4838.709677419360</v>
      </c>
      <c r="AM20" s="78" cm="1">
        <f t="array" ref="AM20">AL20</f>
        <v>4838.709677419360</v>
      </c>
      <c r="AN20" s="78" cm="1">
        <f t="array" ref="AN20">AM20</f>
        <v>4838.709677419360</v>
      </c>
      <c r="AO20" s="78" cm="1">
        <f t="array" ref="AO20">AN20</f>
        <v>4838.709677419360</v>
      </c>
      <c r="AP20" s="78" cm="1">
        <f t="array" ref="AP20">AO20</f>
        <v>4838.709677419360</v>
      </c>
      <c r="AQ20" s="78" cm="1">
        <f t="array" ref="AQ20">AP20</f>
        <v>4838.709677419360</v>
      </c>
      <c r="AR20" s="78" cm="1">
        <f t="array" ref="AR20">AQ20</f>
        <v>4838.709677419360</v>
      </c>
      <c r="AS20" s="78" cm="1">
        <f t="array" ref="AS20">AR20</f>
        <v>4838.709677419360</v>
      </c>
      <c r="AT20" s="78" cm="1">
        <f t="array" ref="AT20">AS20</f>
        <v>4838.709677419360</v>
      </c>
      <c r="AU20" s="78" cm="1">
        <f t="array" ref="AU20">AT20</f>
        <v>4838.709677419360</v>
      </c>
      <c r="AV20" s="78" cm="1">
        <f t="array" ref="AV20">AU20</f>
        <v>4838.709677419360</v>
      </c>
      <c r="AW20" s="78" cm="1">
        <f t="array" ref="AW20">AV20</f>
        <v>4838.709677419360</v>
      </c>
      <c r="AX20" s="78" cm="1">
        <f t="array" ref="AX20">AW20</f>
        <v>4838.709677419360</v>
      </c>
      <c r="AY20" s="78" cm="1">
        <f t="array" ref="AY20">AX20</f>
        <v>4838.709677419360</v>
      </c>
      <c r="AZ20" s="17"/>
    </row>
    <row r="21" ht="16" customHeight="1">
      <c r="A21" s="12"/>
      <c r="B21" s="117"/>
      <c r="C21" s="117"/>
      <c r="D21" s="117"/>
      <c r="E21" s="117"/>
      <c r="F21" s="117"/>
      <c r="G21" s="117"/>
      <c r="H21" s="117"/>
      <c r="I21" s="118"/>
      <c r="J21" s="118"/>
      <c r="K21" s="13"/>
      <c r="L21" s="13"/>
      <c r="M21" s="13"/>
      <c r="N21" s="13"/>
      <c r="O21" s="13"/>
      <c r="P21" s="13"/>
      <c r="Q21" s="13"/>
      <c r="R21" s="111"/>
      <c r="S21" s="61" cm="1">
        <f t="array" ref="S21">S20+1</f>
        <v>5</v>
      </c>
      <c r="T21" t="s" s="94">
        <v>76</v>
      </c>
      <c r="U21" s="91">
        <v>1815</v>
      </c>
      <c r="V21" s="91" cm="1">
        <f t="array" ref="V21">U21</f>
        <v>1815</v>
      </c>
      <c r="W21" s="91" cm="1">
        <f t="array" ref="W21">V21</f>
        <v>1815</v>
      </c>
      <c r="X21" s="91" cm="1">
        <f t="array" ref="X21">W21</f>
        <v>1815</v>
      </c>
      <c r="Y21" s="91" cm="1">
        <f t="array" ref="Y21">X21</f>
        <v>1815</v>
      </c>
      <c r="Z21" s="91" cm="1">
        <f t="array" ref="Z21">Y21</f>
        <v>1815</v>
      </c>
      <c r="AA21" s="91" cm="1">
        <f t="array" ref="AA21">Z21</f>
        <v>1815</v>
      </c>
      <c r="AB21" s="91" cm="1">
        <f t="array" ref="AB21">AA21</f>
        <v>1815</v>
      </c>
      <c r="AC21" s="91" cm="1">
        <f t="array" ref="AC21">AB21</f>
        <v>1815</v>
      </c>
      <c r="AD21" s="91" cm="1">
        <f t="array" ref="AD21">AC21</f>
        <v>1815</v>
      </c>
      <c r="AE21" s="91" cm="1">
        <f t="array" ref="AE21">AD21</f>
        <v>1815</v>
      </c>
      <c r="AF21" s="91" cm="1">
        <f t="array" ref="AF21">AE21</f>
        <v>1815</v>
      </c>
      <c r="AG21" s="91" cm="1">
        <f t="array" ref="AG21">AF21</f>
        <v>1815</v>
      </c>
      <c r="AH21" s="91" cm="1">
        <f t="array" ref="AH21">AG21</f>
        <v>1815</v>
      </c>
      <c r="AI21" s="91" cm="1">
        <f t="array" ref="AI21">AH21</f>
        <v>1815</v>
      </c>
      <c r="AJ21" s="91" cm="1">
        <f t="array" ref="AJ21">AI21</f>
        <v>1815</v>
      </c>
      <c r="AK21" s="91" cm="1">
        <f t="array" ref="AK21">AJ21</f>
        <v>1815</v>
      </c>
      <c r="AL21" s="91" cm="1">
        <f t="array" ref="AL21">AK21</f>
        <v>1815</v>
      </c>
      <c r="AM21" s="91" cm="1">
        <f t="array" ref="AM21">AL21</f>
        <v>1815</v>
      </c>
      <c r="AN21" s="91" cm="1">
        <f t="array" ref="AN21">AM21</f>
        <v>1815</v>
      </c>
      <c r="AO21" s="91" cm="1">
        <f t="array" ref="AO21">AN21</f>
        <v>1815</v>
      </c>
      <c r="AP21" s="91" cm="1">
        <f t="array" ref="AP21">AO21</f>
        <v>1815</v>
      </c>
      <c r="AQ21" s="91" cm="1">
        <f t="array" ref="AQ21">AP21</f>
        <v>1815</v>
      </c>
      <c r="AR21" s="91" cm="1">
        <f t="array" ref="AR21">AQ21</f>
        <v>1815</v>
      </c>
      <c r="AS21" s="91" cm="1">
        <f t="array" ref="AS21">AR21</f>
        <v>1815</v>
      </c>
      <c r="AT21" s="91" cm="1">
        <f t="array" ref="AT21">AS21</f>
        <v>1815</v>
      </c>
      <c r="AU21" s="91" cm="1">
        <f t="array" ref="AU21">AT21</f>
        <v>1815</v>
      </c>
      <c r="AV21" s="91" cm="1">
        <f t="array" ref="AV21">AU21</f>
        <v>1815</v>
      </c>
      <c r="AW21" s="91" cm="1">
        <f t="array" ref="AW21">AV21</f>
        <v>1815</v>
      </c>
      <c r="AX21" s="91" cm="1">
        <f t="array" ref="AX21">AW21</f>
        <v>1815</v>
      </c>
      <c r="AY21" s="91" cm="1">
        <f t="array" ref="AY21">AX21</f>
        <v>1815</v>
      </c>
      <c r="AZ21" s="17"/>
    </row>
    <row r="22" ht="16" customHeight="1">
      <c r="A22" s="12"/>
      <c r="B22" s="13"/>
      <c r="C22" s="13"/>
      <c r="D22" s="13"/>
      <c r="E22" s="13"/>
      <c r="F22" s="13"/>
      <c r="G22" s="13"/>
      <c r="H22" s="13"/>
      <c r="I22" s="118"/>
      <c r="J22" s="118"/>
      <c r="K22" s="13"/>
      <c r="L22" s="13"/>
      <c r="M22" s="13"/>
      <c r="N22" s="13"/>
      <c r="O22" s="13"/>
      <c r="P22" s="13"/>
      <c r="Q22" s="13"/>
      <c r="R22" s="111"/>
      <c r="S22" s="61" cm="1">
        <f t="array" ref="S22">S21+1</f>
        <v>6</v>
      </c>
      <c r="T22" t="s" s="94">
        <v>77</v>
      </c>
      <c r="U22" s="91">
        <v>1694</v>
      </c>
      <c r="V22" s="91" cm="1">
        <f t="array" ref="V22">U22</f>
        <v>1694</v>
      </c>
      <c r="W22" s="91" cm="1">
        <f t="array" ref="W22">V22</f>
        <v>1694</v>
      </c>
      <c r="X22" s="91" cm="1">
        <f t="array" ref="X22">W22</f>
        <v>1694</v>
      </c>
      <c r="Y22" s="91" cm="1">
        <f t="array" ref="Y22">X22</f>
        <v>1694</v>
      </c>
      <c r="Z22" s="91" cm="1">
        <f t="array" ref="Z22">Y22</f>
        <v>1694</v>
      </c>
      <c r="AA22" s="91" cm="1">
        <f t="array" ref="AA22">Z22</f>
        <v>1694</v>
      </c>
      <c r="AB22" s="91" cm="1">
        <f t="array" ref="AB22">AA22</f>
        <v>1694</v>
      </c>
      <c r="AC22" s="91" cm="1">
        <f t="array" ref="AC22">AB22</f>
        <v>1694</v>
      </c>
      <c r="AD22" s="91" cm="1">
        <f t="array" ref="AD22">AC22</f>
        <v>1694</v>
      </c>
      <c r="AE22" s="91" cm="1">
        <f t="array" ref="AE22">AD22</f>
        <v>1694</v>
      </c>
      <c r="AF22" s="91" cm="1">
        <f t="array" ref="AF22">AE22</f>
        <v>1694</v>
      </c>
      <c r="AG22" s="91" cm="1">
        <f t="array" ref="AG22">AF22</f>
        <v>1694</v>
      </c>
      <c r="AH22" s="91" cm="1">
        <f t="array" ref="AH22">AG22</f>
        <v>1694</v>
      </c>
      <c r="AI22" s="91" cm="1">
        <f t="array" ref="AI22">AH22</f>
        <v>1694</v>
      </c>
      <c r="AJ22" s="91" cm="1">
        <f t="array" ref="AJ22">AI22</f>
        <v>1694</v>
      </c>
      <c r="AK22" s="91" cm="1">
        <f t="array" ref="AK22">AJ22</f>
        <v>1694</v>
      </c>
      <c r="AL22" s="91" cm="1">
        <f t="array" ref="AL22">AK22</f>
        <v>1694</v>
      </c>
      <c r="AM22" s="91" cm="1">
        <f t="array" ref="AM22">AL22</f>
        <v>1694</v>
      </c>
      <c r="AN22" s="91" cm="1">
        <f t="array" ref="AN22">AM22</f>
        <v>1694</v>
      </c>
      <c r="AO22" s="91" cm="1">
        <f t="array" ref="AO22">AN22</f>
        <v>1694</v>
      </c>
      <c r="AP22" s="91" cm="1">
        <f t="array" ref="AP22">AO22</f>
        <v>1694</v>
      </c>
      <c r="AQ22" s="91" cm="1">
        <f t="array" ref="AQ22">AP22</f>
        <v>1694</v>
      </c>
      <c r="AR22" s="91" cm="1">
        <f t="array" ref="AR22">AQ22</f>
        <v>1694</v>
      </c>
      <c r="AS22" s="91" cm="1">
        <f t="array" ref="AS22">AR22</f>
        <v>1694</v>
      </c>
      <c r="AT22" s="91" cm="1">
        <f t="array" ref="AT22">AS22</f>
        <v>1694</v>
      </c>
      <c r="AU22" s="91" cm="1">
        <f t="array" ref="AU22">AT22</f>
        <v>1694</v>
      </c>
      <c r="AV22" s="91" cm="1">
        <f t="array" ref="AV22">AU22</f>
        <v>1694</v>
      </c>
      <c r="AW22" s="91" cm="1">
        <f t="array" ref="AW22">AV22</f>
        <v>1694</v>
      </c>
      <c r="AX22" s="91" cm="1">
        <f t="array" ref="AX22">AW22</f>
        <v>1694</v>
      </c>
      <c r="AY22" s="91" cm="1">
        <f t="array" ref="AY22">AX22</f>
        <v>1694</v>
      </c>
      <c r="AZ22" s="17"/>
    </row>
    <row r="23" ht="16" customHeight="1">
      <c r="A23" s="12"/>
      <c r="B23" s="13"/>
      <c r="C23" s="13"/>
      <c r="D23" s="13"/>
      <c r="E23" s="13"/>
      <c r="F23" s="13"/>
      <c r="G23" s="13"/>
      <c r="H23" s="13"/>
      <c r="I23" s="118"/>
      <c r="J23" s="118"/>
      <c r="K23" s="13"/>
      <c r="L23" s="13"/>
      <c r="M23" s="13"/>
      <c r="N23" s="13"/>
      <c r="O23" s="13"/>
      <c r="P23" s="13"/>
      <c r="Q23" s="13"/>
      <c r="R23" s="111"/>
      <c r="S23" s="61" cm="1">
        <f t="array" ref="S23">S22+1</f>
        <v>7</v>
      </c>
      <c r="T23" t="s" s="94">
        <v>78</v>
      </c>
      <c r="U23" s="91">
        <v>1935</v>
      </c>
      <c r="V23" s="91" cm="1">
        <f t="array" ref="V23">U23</f>
        <v>1935</v>
      </c>
      <c r="W23" s="91" cm="1">
        <f t="array" ref="W23">V23</f>
        <v>1935</v>
      </c>
      <c r="X23" s="91" cm="1">
        <f t="array" ref="X23">W23</f>
        <v>1935</v>
      </c>
      <c r="Y23" s="91" cm="1">
        <f t="array" ref="Y23">X23</f>
        <v>1935</v>
      </c>
      <c r="Z23" s="91" cm="1">
        <f t="array" ref="Z23">Y23</f>
        <v>1935</v>
      </c>
      <c r="AA23" s="91" cm="1">
        <f t="array" ref="AA23">Z23</f>
        <v>1935</v>
      </c>
      <c r="AB23" s="91" cm="1">
        <f t="array" ref="AB23">AA23</f>
        <v>1935</v>
      </c>
      <c r="AC23" s="91" cm="1">
        <f t="array" ref="AC23">AB23</f>
        <v>1935</v>
      </c>
      <c r="AD23" s="91" cm="1">
        <f t="array" ref="AD23">AC23</f>
        <v>1935</v>
      </c>
      <c r="AE23" s="91" cm="1">
        <f t="array" ref="AE23">AD23</f>
        <v>1935</v>
      </c>
      <c r="AF23" s="91" cm="1">
        <f t="array" ref="AF23">AE23</f>
        <v>1935</v>
      </c>
      <c r="AG23" s="91" cm="1">
        <f t="array" ref="AG23">AF23</f>
        <v>1935</v>
      </c>
      <c r="AH23" s="91" cm="1">
        <f t="array" ref="AH23">AG23</f>
        <v>1935</v>
      </c>
      <c r="AI23" s="91" cm="1">
        <f t="array" ref="AI23">AH23</f>
        <v>1935</v>
      </c>
      <c r="AJ23" s="91" cm="1">
        <f t="array" ref="AJ23">AI23</f>
        <v>1935</v>
      </c>
      <c r="AK23" s="91" cm="1">
        <f t="array" ref="AK23">AJ23</f>
        <v>1935</v>
      </c>
      <c r="AL23" s="91" cm="1">
        <f t="array" ref="AL23">AK23</f>
        <v>1935</v>
      </c>
      <c r="AM23" s="91" cm="1">
        <f t="array" ref="AM23">AL23</f>
        <v>1935</v>
      </c>
      <c r="AN23" s="91" cm="1">
        <f t="array" ref="AN23">AM23</f>
        <v>1935</v>
      </c>
      <c r="AO23" s="91" cm="1">
        <f t="array" ref="AO23">AN23</f>
        <v>1935</v>
      </c>
      <c r="AP23" s="91" cm="1">
        <f t="array" ref="AP23">AO23</f>
        <v>1935</v>
      </c>
      <c r="AQ23" s="91" cm="1">
        <f t="array" ref="AQ23">AP23</f>
        <v>1935</v>
      </c>
      <c r="AR23" s="91" cm="1">
        <f t="array" ref="AR23">AQ23</f>
        <v>1935</v>
      </c>
      <c r="AS23" s="91" cm="1">
        <f t="array" ref="AS23">AR23</f>
        <v>1935</v>
      </c>
      <c r="AT23" s="91" cm="1">
        <f t="array" ref="AT23">AS23</f>
        <v>1935</v>
      </c>
      <c r="AU23" s="91" cm="1">
        <f t="array" ref="AU23">AT23</f>
        <v>1935</v>
      </c>
      <c r="AV23" s="91" cm="1">
        <f t="array" ref="AV23">AU23</f>
        <v>1935</v>
      </c>
      <c r="AW23" s="91" cm="1">
        <f t="array" ref="AW23">AV23</f>
        <v>1935</v>
      </c>
      <c r="AX23" s="91" cm="1">
        <f t="array" ref="AX23">AW23</f>
        <v>1935</v>
      </c>
      <c r="AY23" s="91" cm="1">
        <f t="array" ref="AY23">AX23</f>
        <v>1935</v>
      </c>
      <c r="AZ23" s="17"/>
    </row>
    <row r="24" ht="16" customHeight="1">
      <c r="A24" s="12"/>
      <c r="B24" s="117"/>
      <c r="C24" s="117"/>
      <c r="D24" s="117"/>
      <c r="E24" s="117"/>
      <c r="F24" s="117"/>
      <c r="G24" s="117"/>
      <c r="H24" s="117"/>
      <c r="I24" s="118"/>
      <c r="J24" s="118"/>
      <c r="K24" s="13"/>
      <c r="L24" s="13"/>
      <c r="M24" s="13"/>
      <c r="N24" s="13"/>
      <c r="O24" s="13"/>
      <c r="P24" s="13"/>
      <c r="Q24" s="13"/>
      <c r="R24" s="111"/>
      <c r="S24" s="61" cm="1">
        <f t="array" ref="S24">S23+1</f>
        <v>8</v>
      </c>
      <c r="T24" t="s" s="94">
        <v>79</v>
      </c>
      <c r="U24" s="91">
        <v>1161</v>
      </c>
      <c r="V24" s="91" cm="1">
        <f t="array" ref="V24">U24</f>
        <v>1161</v>
      </c>
      <c r="W24" s="91" cm="1">
        <f t="array" ref="W24">V24</f>
        <v>1161</v>
      </c>
      <c r="X24" s="91" cm="1">
        <f t="array" ref="X24">W24</f>
        <v>1161</v>
      </c>
      <c r="Y24" s="91" cm="1">
        <f t="array" ref="Y24">X24</f>
        <v>1161</v>
      </c>
      <c r="Z24" s="91" cm="1">
        <f t="array" ref="Z24">Y24</f>
        <v>1161</v>
      </c>
      <c r="AA24" s="91" cm="1">
        <f t="array" ref="AA24">Z24</f>
        <v>1161</v>
      </c>
      <c r="AB24" s="91" cm="1">
        <f t="array" ref="AB24">AA24</f>
        <v>1161</v>
      </c>
      <c r="AC24" s="91" cm="1">
        <f t="array" ref="AC24">AB24</f>
        <v>1161</v>
      </c>
      <c r="AD24" s="91" cm="1">
        <f t="array" ref="AD24">AC24</f>
        <v>1161</v>
      </c>
      <c r="AE24" s="91" cm="1">
        <f t="array" ref="AE24">AD24</f>
        <v>1161</v>
      </c>
      <c r="AF24" s="91" cm="1">
        <f t="array" ref="AF24">AE24</f>
        <v>1161</v>
      </c>
      <c r="AG24" s="91" cm="1">
        <f t="array" ref="AG24">AF24</f>
        <v>1161</v>
      </c>
      <c r="AH24" s="91" cm="1">
        <f t="array" ref="AH24">AG24</f>
        <v>1161</v>
      </c>
      <c r="AI24" s="91" cm="1">
        <f t="array" ref="AI24">AH24</f>
        <v>1161</v>
      </c>
      <c r="AJ24" s="91" cm="1">
        <f t="array" ref="AJ24">AI24</f>
        <v>1161</v>
      </c>
      <c r="AK24" s="91" cm="1">
        <f t="array" ref="AK24">AJ24</f>
        <v>1161</v>
      </c>
      <c r="AL24" s="91" cm="1">
        <f t="array" ref="AL24">AK24</f>
        <v>1161</v>
      </c>
      <c r="AM24" s="91" cm="1">
        <f t="array" ref="AM24">AL24</f>
        <v>1161</v>
      </c>
      <c r="AN24" s="91" cm="1">
        <f t="array" ref="AN24">AM24</f>
        <v>1161</v>
      </c>
      <c r="AO24" s="91" cm="1">
        <f t="array" ref="AO24">AN24</f>
        <v>1161</v>
      </c>
      <c r="AP24" s="91" cm="1">
        <f t="array" ref="AP24">AO24</f>
        <v>1161</v>
      </c>
      <c r="AQ24" s="91" cm="1">
        <f t="array" ref="AQ24">AP24</f>
        <v>1161</v>
      </c>
      <c r="AR24" s="91" cm="1">
        <f t="array" ref="AR24">AQ24</f>
        <v>1161</v>
      </c>
      <c r="AS24" s="91" cm="1">
        <f t="array" ref="AS24">AR24</f>
        <v>1161</v>
      </c>
      <c r="AT24" s="91" cm="1">
        <f t="array" ref="AT24">AS24</f>
        <v>1161</v>
      </c>
      <c r="AU24" s="91" cm="1">
        <f t="array" ref="AU24">AT24</f>
        <v>1161</v>
      </c>
      <c r="AV24" s="91" cm="1">
        <f t="array" ref="AV24">AU24</f>
        <v>1161</v>
      </c>
      <c r="AW24" s="91" cm="1">
        <f t="array" ref="AW24">AV24</f>
        <v>1161</v>
      </c>
      <c r="AX24" s="91" cm="1">
        <f t="array" ref="AX24">AW24</f>
        <v>1161</v>
      </c>
      <c r="AY24" s="91" cm="1">
        <f t="array" ref="AY24">AX24</f>
        <v>1161</v>
      </c>
      <c r="AZ24" s="17"/>
    </row>
    <row r="25" ht="16" customHeight="1">
      <c r="A25" s="12"/>
      <c r="B25" s="117"/>
      <c r="C25" s="117"/>
      <c r="D25" s="117"/>
      <c r="E25" s="117"/>
      <c r="F25" s="117"/>
      <c r="G25" s="117"/>
      <c r="H25" s="117"/>
      <c r="I25" s="118"/>
      <c r="J25" s="118"/>
      <c r="K25" s="13"/>
      <c r="L25" s="13"/>
      <c r="M25" s="13"/>
      <c r="N25" s="13"/>
      <c r="O25" s="13"/>
      <c r="P25" s="13"/>
      <c r="Q25" s="13"/>
      <c r="R25" s="13"/>
      <c r="S25" s="101"/>
      <c r="T25" s="13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7"/>
    </row>
    <row r="26" ht="16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11"/>
      <c r="S26" s="61">
        <v>1</v>
      </c>
      <c r="T26" t="s" s="94">
        <v>80</v>
      </c>
      <c r="U26" s="78" cm="1">
        <f t="array" ref="U26">AVERAGE(U8:AY8)</f>
        <v>48180.2361290323</v>
      </c>
      <c r="V26" s="78" cm="1">
        <f t="array" ref="V26">U26</f>
        <v>48180.2361290323</v>
      </c>
      <c r="W26" s="78" cm="1">
        <f t="array" ref="W26">V26</f>
        <v>48180.2361290323</v>
      </c>
      <c r="X26" s="78" cm="1">
        <f t="array" ref="X26">W26</f>
        <v>48180.2361290323</v>
      </c>
      <c r="Y26" s="78" cm="1">
        <f t="array" ref="Y26">X26</f>
        <v>48180.2361290323</v>
      </c>
      <c r="Z26" s="78" cm="1">
        <f t="array" ref="Z26">Y26</f>
        <v>48180.2361290323</v>
      </c>
      <c r="AA26" s="78" cm="1">
        <f t="array" ref="AA26">Z26</f>
        <v>48180.2361290323</v>
      </c>
      <c r="AB26" s="78" cm="1">
        <f t="array" ref="AB26">AA26</f>
        <v>48180.2361290323</v>
      </c>
      <c r="AC26" s="78" cm="1">
        <f t="array" ref="AC26">AB26</f>
        <v>48180.2361290323</v>
      </c>
      <c r="AD26" s="78" cm="1">
        <f t="array" ref="AD26">AC26</f>
        <v>48180.2361290323</v>
      </c>
      <c r="AE26" s="78" cm="1">
        <f t="array" ref="AE26">AD26</f>
        <v>48180.2361290323</v>
      </c>
      <c r="AF26" s="78" cm="1">
        <f t="array" ref="AF26">AE26</f>
        <v>48180.2361290323</v>
      </c>
      <c r="AG26" s="78" cm="1">
        <f t="array" ref="AG26">AF26</f>
        <v>48180.2361290323</v>
      </c>
      <c r="AH26" s="78" cm="1">
        <f t="array" ref="AH26">AG26</f>
        <v>48180.2361290323</v>
      </c>
      <c r="AI26" s="78" cm="1">
        <f t="array" ref="AI26">AH26</f>
        <v>48180.2361290323</v>
      </c>
      <c r="AJ26" s="78" cm="1">
        <f t="array" ref="AJ26">AI26</f>
        <v>48180.2361290323</v>
      </c>
      <c r="AK26" s="78" cm="1">
        <f t="array" ref="AK26">AJ26</f>
        <v>48180.2361290323</v>
      </c>
      <c r="AL26" s="78" cm="1">
        <f t="array" ref="AL26">AK26</f>
        <v>48180.2361290323</v>
      </c>
      <c r="AM26" s="78" cm="1">
        <f t="array" ref="AM26">AL26</f>
        <v>48180.2361290323</v>
      </c>
      <c r="AN26" s="78" cm="1">
        <f t="array" ref="AN26">AM26</f>
        <v>48180.2361290323</v>
      </c>
      <c r="AO26" s="78" cm="1">
        <f t="array" ref="AO26">AN26</f>
        <v>48180.2361290323</v>
      </c>
      <c r="AP26" s="78" cm="1">
        <f t="array" ref="AP26">AO26</f>
        <v>48180.2361290323</v>
      </c>
      <c r="AQ26" s="78" cm="1">
        <f t="array" ref="AQ26">AP26</f>
        <v>48180.2361290323</v>
      </c>
      <c r="AR26" s="78" cm="1">
        <f t="array" ref="AR26">AQ26</f>
        <v>48180.2361290323</v>
      </c>
      <c r="AS26" s="78" cm="1">
        <f t="array" ref="AS26">AR26</f>
        <v>48180.2361290323</v>
      </c>
      <c r="AT26" s="78" cm="1">
        <f t="array" ref="AT26">AS26</f>
        <v>48180.2361290323</v>
      </c>
      <c r="AU26" s="78" cm="1">
        <f t="array" ref="AU26">AT26</f>
        <v>48180.2361290323</v>
      </c>
      <c r="AV26" s="78" cm="1">
        <f t="array" ref="AV26">AU26</f>
        <v>48180.2361290323</v>
      </c>
      <c r="AW26" s="78" cm="1">
        <f t="array" ref="AW26">AV26</f>
        <v>48180.2361290323</v>
      </c>
      <c r="AX26" s="78" cm="1">
        <f t="array" ref="AX26">AW26</f>
        <v>48180.2361290323</v>
      </c>
      <c r="AY26" s="78" cm="1">
        <f t="array" ref="AY26">AX26</f>
        <v>48180.2361290323</v>
      </c>
      <c r="AZ26" s="17"/>
    </row>
    <row r="27" ht="16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11"/>
      <c r="S27" s="61" cm="1">
        <f t="array" ref="S27">S26+1</f>
        <v>2</v>
      </c>
      <c r="T27" t="s" s="94">
        <v>73</v>
      </c>
      <c r="U27" s="78" cm="1">
        <f t="array" ref="U27">AVERAGE(U9:AY9)</f>
        <v>30776.2503225806</v>
      </c>
      <c r="V27" s="78" cm="1">
        <f t="array" ref="V27">U27</f>
        <v>30776.2503225806</v>
      </c>
      <c r="W27" s="78" cm="1">
        <f t="array" ref="W27">V27</f>
        <v>30776.2503225806</v>
      </c>
      <c r="X27" s="78" cm="1">
        <f t="array" ref="X27">W27</f>
        <v>30776.2503225806</v>
      </c>
      <c r="Y27" s="78" cm="1">
        <f t="array" ref="Y27">X27</f>
        <v>30776.2503225806</v>
      </c>
      <c r="Z27" s="78" cm="1">
        <f t="array" ref="Z27">Y27</f>
        <v>30776.2503225806</v>
      </c>
      <c r="AA27" s="78" cm="1">
        <f t="array" ref="AA27">Z27</f>
        <v>30776.2503225806</v>
      </c>
      <c r="AB27" s="78" cm="1">
        <f t="array" ref="AB27">AA27</f>
        <v>30776.2503225806</v>
      </c>
      <c r="AC27" s="78" cm="1">
        <f t="array" ref="AC27">AB27</f>
        <v>30776.2503225806</v>
      </c>
      <c r="AD27" s="78" cm="1">
        <f t="array" ref="AD27">AC27</f>
        <v>30776.2503225806</v>
      </c>
      <c r="AE27" s="78" cm="1">
        <f t="array" ref="AE27">AD27</f>
        <v>30776.2503225806</v>
      </c>
      <c r="AF27" s="78" cm="1">
        <f t="array" ref="AF27">AE27</f>
        <v>30776.2503225806</v>
      </c>
      <c r="AG27" s="78" cm="1">
        <f t="array" ref="AG27">AF27</f>
        <v>30776.2503225806</v>
      </c>
      <c r="AH27" s="78" cm="1">
        <f t="array" ref="AH27">AG27</f>
        <v>30776.2503225806</v>
      </c>
      <c r="AI27" s="78" cm="1">
        <f t="array" ref="AI27">AH27</f>
        <v>30776.2503225806</v>
      </c>
      <c r="AJ27" s="78" cm="1">
        <f t="array" ref="AJ27">AI27</f>
        <v>30776.2503225806</v>
      </c>
      <c r="AK27" s="78" cm="1">
        <f t="array" ref="AK27">AJ27</f>
        <v>30776.2503225806</v>
      </c>
      <c r="AL27" s="78" cm="1">
        <f t="array" ref="AL27">AK27</f>
        <v>30776.2503225806</v>
      </c>
      <c r="AM27" s="78" cm="1">
        <f t="array" ref="AM27">AL27</f>
        <v>30776.2503225806</v>
      </c>
      <c r="AN27" s="78" cm="1">
        <f t="array" ref="AN27">AM27</f>
        <v>30776.2503225806</v>
      </c>
      <c r="AO27" s="78" cm="1">
        <f t="array" ref="AO27">AN27</f>
        <v>30776.2503225806</v>
      </c>
      <c r="AP27" s="78" cm="1">
        <f t="array" ref="AP27">AO27</f>
        <v>30776.2503225806</v>
      </c>
      <c r="AQ27" s="78" cm="1">
        <f t="array" ref="AQ27">AP27</f>
        <v>30776.2503225806</v>
      </c>
      <c r="AR27" s="78" cm="1">
        <f t="array" ref="AR27">AQ27</f>
        <v>30776.2503225806</v>
      </c>
      <c r="AS27" s="78" cm="1">
        <f t="array" ref="AS27">AR27</f>
        <v>30776.2503225806</v>
      </c>
      <c r="AT27" s="78" cm="1">
        <f t="array" ref="AT27">AS27</f>
        <v>30776.2503225806</v>
      </c>
      <c r="AU27" s="78" cm="1">
        <f t="array" ref="AU27">AT27</f>
        <v>30776.2503225806</v>
      </c>
      <c r="AV27" s="78" cm="1">
        <f t="array" ref="AV27">AU27</f>
        <v>30776.2503225806</v>
      </c>
      <c r="AW27" s="78" cm="1">
        <f t="array" ref="AW27">AV27</f>
        <v>30776.2503225806</v>
      </c>
      <c r="AX27" s="78" cm="1">
        <f t="array" ref="AX27">AW27</f>
        <v>30776.2503225806</v>
      </c>
      <c r="AY27" s="78" cm="1">
        <f t="array" ref="AY27">AX27</f>
        <v>30776.2503225806</v>
      </c>
      <c r="AZ27" s="17"/>
    </row>
    <row r="28" ht="16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11"/>
      <c r="S28" s="61" cm="1">
        <f t="array" ref="S28">S27+1</f>
        <v>3</v>
      </c>
      <c r="T28" t="s" s="94">
        <v>81</v>
      </c>
      <c r="U28" s="78" cm="1">
        <f t="array" ref="U28">AVERAGE(U10:AY10)</f>
        <v>8334.456129032260</v>
      </c>
      <c r="V28" s="78" cm="1">
        <f t="array" ref="V28">U28</f>
        <v>8334.456129032260</v>
      </c>
      <c r="W28" s="78" cm="1">
        <f t="array" ref="W28">V28</f>
        <v>8334.456129032260</v>
      </c>
      <c r="X28" s="78" cm="1">
        <f t="array" ref="X28">W28</f>
        <v>8334.456129032260</v>
      </c>
      <c r="Y28" s="78" cm="1">
        <f t="array" ref="Y28">X28</f>
        <v>8334.456129032260</v>
      </c>
      <c r="Z28" s="78" cm="1">
        <f t="array" ref="Z28">Y28</f>
        <v>8334.456129032260</v>
      </c>
      <c r="AA28" s="78" cm="1">
        <f t="array" ref="AA28">Z28</f>
        <v>8334.456129032260</v>
      </c>
      <c r="AB28" s="78" cm="1">
        <f t="array" ref="AB28">AA28</f>
        <v>8334.456129032260</v>
      </c>
      <c r="AC28" s="78" cm="1">
        <f t="array" ref="AC28">AB28</f>
        <v>8334.456129032260</v>
      </c>
      <c r="AD28" s="78" cm="1">
        <f t="array" ref="AD28">AC28</f>
        <v>8334.456129032260</v>
      </c>
      <c r="AE28" s="78" cm="1">
        <f t="array" ref="AE28">AD28</f>
        <v>8334.456129032260</v>
      </c>
      <c r="AF28" s="78" cm="1">
        <f t="array" ref="AF28">AE28</f>
        <v>8334.456129032260</v>
      </c>
      <c r="AG28" s="78" cm="1">
        <f t="array" ref="AG28">AF28</f>
        <v>8334.456129032260</v>
      </c>
      <c r="AH28" s="78" cm="1">
        <f t="array" ref="AH28">AG28</f>
        <v>8334.456129032260</v>
      </c>
      <c r="AI28" s="78" cm="1">
        <f t="array" ref="AI28">AH28</f>
        <v>8334.456129032260</v>
      </c>
      <c r="AJ28" s="78" cm="1">
        <f t="array" ref="AJ28">AI28</f>
        <v>8334.456129032260</v>
      </c>
      <c r="AK28" s="78" cm="1">
        <f t="array" ref="AK28">AJ28</f>
        <v>8334.456129032260</v>
      </c>
      <c r="AL28" s="78" cm="1">
        <f t="array" ref="AL28">AK28</f>
        <v>8334.456129032260</v>
      </c>
      <c r="AM28" s="78" cm="1">
        <f t="array" ref="AM28">AL28</f>
        <v>8334.456129032260</v>
      </c>
      <c r="AN28" s="78" cm="1">
        <f t="array" ref="AN28">AM28</f>
        <v>8334.456129032260</v>
      </c>
      <c r="AO28" s="78" cm="1">
        <f t="array" ref="AO28">AN28</f>
        <v>8334.456129032260</v>
      </c>
      <c r="AP28" s="78" cm="1">
        <f t="array" ref="AP28">AO28</f>
        <v>8334.456129032260</v>
      </c>
      <c r="AQ28" s="78" cm="1">
        <f t="array" ref="AQ28">AP28</f>
        <v>8334.456129032260</v>
      </c>
      <c r="AR28" s="78" cm="1">
        <f t="array" ref="AR28">AQ28</f>
        <v>8334.456129032260</v>
      </c>
      <c r="AS28" s="78" cm="1">
        <f t="array" ref="AS28">AR28</f>
        <v>8334.456129032260</v>
      </c>
      <c r="AT28" s="78" cm="1">
        <f t="array" ref="AT28">AS28</f>
        <v>8334.456129032260</v>
      </c>
      <c r="AU28" s="78" cm="1">
        <f t="array" ref="AU28">AT28</f>
        <v>8334.456129032260</v>
      </c>
      <c r="AV28" s="78" cm="1">
        <f t="array" ref="AV28">AU28</f>
        <v>8334.456129032260</v>
      </c>
      <c r="AW28" s="78" cm="1">
        <f t="array" ref="AW28">AV28</f>
        <v>8334.456129032260</v>
      </c>
      <c r="AX28" s="78" cm="1">
        <f t="array" ref="AX28">AW28</f>
        <v>8334.456129032260</v>
      </c>
      <c r="AY28" s="78" cm="1">
        <f t="array" ref="AY28">AX28</f>
        <v>8334.456129032260</v>
      </c>
      <c r="AZ28" s="17"/>
    </row>
    <row r="29" ht="16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11"/>
      <c r="S29" s="61" cm="1">
        <f t="array" ref="S29">S28+1</f>
        <v>4</v>
      </c>
      <c r="T29" t="s" s="94">
        <v>82</v>
      </c>
      <c r="U29" s="78" cm="1">
        <f t="array" ref="U29">AVERAGE(U11:AY11)</f>
        <v>1691.278387096770</v>
      </c>
      <c r="V29" s="78" cm="1">
        <f t="array" ref="V29">U29</f>
        <v>1691.278387096770</v>
      </c>
      <c r="W29" s="78" cm="1">
        <f t="array" ref="W29">V29</f>
        <v>1691.278387096770</v>
      </c>
      <c r="X29" s="78" cm="1">
        <f t="array" ref="X29">W29</f>
        <v>1691.278387096770</v>
      </c>
      <c r="Y29" s="78" cm="1">
        <f t="array" ref="Y29">X29</f>
        <v>1691.278387096770</v>
      </c>
      <c r="Z29" s="78" cm="1">
        <f t="array" ref="Z29">Y29</f>
        <v>1691.278387096770</v>
      </c>
      <c r="AA29" s="78" cm="1">
        <f t="array" ref="AA29">Z29</f>
        <v>1691.278387096770</v>
      </c>
      <c r="AB29" s="78" cm="1">
        <f t="array" ref="AB29">AA29</f>
        <v>1691.278387096770</v>
      </c>
      <c r="AC29" s="78" cm="1">
        <f t="array" ref="AC29">AB29</f>
        <v>1691.278387096770</v>
      </c>
      <c r="AD29" s="78" cm="1">
        <f t="array" ref="AD29">AC29</f>
        <v>1691.278387096770</v>
      </c>
      <c r="AE29" s="78" cm="1">
        <f t="array" ref="AE29">AD29</f>
        <v>1691.278387096770</v>
      </c>
      <c r="AF29" s="78" cm="1">
        <f t="array" ref="AF29">AE29</f>
        <v>1691.278387096770</v>
      </c>
      <c r="AG29" s="78" cm="1">
        <f t="array" ref="AG29">AF29</f>
        <v>1691.278387096770</v>
      </c>
      <c r="AH29" s="78" cm="1">
        <f t="array" ref="AH29">AG29</f>
        <v>1691.278387096770</v>
      </c>
      <c r="AI29" s="78" cm="1">
        <f t="array" ref="AI29">AH29</f>
        <v>1691.278387096770</v>
      </c>
      <c r="AJ29" s="78" cm="1">
        <f t="array" ref="AJ29">AI29</f>
        <v>1691.278387096770</v>
      </c>
      <c r="AK29" s="78" cm="1">
        <f t="array" ref="AK29">AJ29</f>
        <v>1691.278387096770</v>
      </c>
      <c r="AL29" s="78" cm="1">
        <f t="array" ref="AL29">AK29</f>
        <v>1691.278387096770</v>
      </c>
      <c r="AM29" s="78" cm="1">
        <f t="array" ref="AM29">AL29</f>
        <v>1691.278387096770</v>
      </c>
      <c r="AN29" s="78" cm="1">
        <f t="array" ref="AN29">AM29</f>
        <v>1691.278387096770</v>
      </c>
      <c r="AO29" s="78" cm="1">
        <f t="array" ref="AO29">AN29</f>
        <v>1691.278387096770</v>
      </c>
      <c r="AP29" s="78" cm="1">
        <f t="array" ref="AP29">AO29</f>
        <v>1691.278387096770</v>
      </c>
      <c r="AQ29" s="78" cm="1">
        <f t="array" ref="AQ29">AP29</f>
        <v>1691.278387096770</v>
      </c>
      <c r="AR29" s="78" cm="1">
        <f t="array" ref="AR29">AQ29</f>
        <v>1691.278387096770</v>
      </c>
      <c r="AS29" s="78" cm="1">
        <f t="array" ref="AS29">AR29</f>
        <v>1691.278387096770</v>
      </c>
      <c r="AT29" s="78" cm="1">
        <f t="array" ref="AT29">AS29</f>
        <v>1691.278387096770</v>
      </c>
      <c r="AU29" s="78" cm="1">
        <f t="array" ref="AU29">AT29</f>
        <v>1691.278387096770</v>
      </c>
      <c r="AV29" s="78" cm="1">
        <f t="array" ref="AV29">AU29</f>
        <v>1691.278387096770</v>
      </c>
      <c r="AW29" s="78" cm="1">
        <f t="array" ref="AW29">AV29</f>
        <v>1691.278387096770</v>
      </c>
      <c r="AX29" s="78" cm="1">
        <f t="array" ref="AX29">AW29</f>
        <v>1691.278387096770</v>
      </c>
      <c r="AY29" s="78" cm="1">
        <f t="array" ref="AY29">AX29</f>
        <v>1691.278387096770</v>
      </c>
      <c r="AZ29" s="17"/>
    </row>
    <row r="30" ht="16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11"/>
      <c r="S30" s="61" cm="1">
        <f t="array" ref="S30">S29+1</f>
        <v>5</v>
      </c>
      <c r="T30" t="s" s="94">
        <v>83</v>
      </c>
      <c r="U30" s="78" cm="1">
        <f t="array" ref="U30">AVERAGE(U12:AY12)</f>
        <v>1854.084838709680</v>
      </c>
      <c r="V30" s="78" cm="1">
        <f t="array" ref="V30">U30</f>
        <v>1854.084838709680</v>
      </c>
      <c r="W30" s="78" cm="1">
        <f t="array" ref="W30">V30</f>
        <v>1854.084838709680</v>
      </c>
      <c r="X30" s="78" cm="1">
        <f t="array" ref="X30">W30</f>
        <v>1854.084838709680</v>
      </c>
      <c r="Y30" s="78" cm="1">
        <f t="array" ref="Y30">X30</f>
        <v>1854.084838709680</v>
      </c>
      <c r="Z30" s="78" cm="1">
        <f t="array" ref="Z30">Y30</f>
        <v>1854.084838709680</v>
      </c>
      <c r="AA30" s="78" cm="1">
        <f t="array" ref="AA30">Z30</f>
        <v>1854.084838709680</v>
      </c>
      <c r="AB30" s="78" cm="1">
        <f t="array" ref="AB30">AA30</f>
        <v>1854.084838709680</v>
      </c>
      <c r="AC30" s="78" cm="1">
        <f t="array" ref="AC30">AB30</f>
        <v>1854.084838709680</v>
      </c>
      <c r="AD30" s="78" cm="1">
        <f t="array" ref="AD30">AC30</f>
        <v>1854.084838709680</v>
      </c>
      <c r="AE30" s="78" cm="1">
        <f t="array" ref="AE30">AD30</f>
        <v>1854.084838709680</v>
      </c>
      <c r="AF30" s="78" cm="1">
        <f t="array" ref="AF30">AE30</f>
        <v>1854.084838709680</v>
      </c>
      <c r="AG30" s="78" cm="1">
        <f t="array" ref="AG30">AF30</f>
        <v>1854.084838709680</v>
      </c>
      <c r="AH30" s="78" cm="1">
        <f t="array" ref="AH30">AG30</f>
        <v>1854.084838709680</v>
      </c>
      <c r="AI30" s="78" cm="1">
        <f t="array" ref="AI30">AH30</f>
        <v>1854.084838709680</v>
      </c>
      <c r="AJ30" s="78" cm="1">
        <f t="array" ref="AJ30">AI30</f>
        <v>1854.084838709680</v>
      </c>
      <c r="AK30" s="78" cm="1">
        <f t="array" ref="AK30">AJ30</f>
        <v>1854.084838709680</v>
      </c>
      <c r="AL30" s="78" cm="1">
        <f t="array" ref="AL30">AK30</f>
        <v>1854.084838709680</v>
      </c>
      <c r="AM30" s="78" cm="1">
        <f t="array" ref="AM30">AL30</f>
        <v>1854.084838709680</v>
      </c>
      <c r="AN30" s="78" cm="1">
        <f t="array" ref="AN30">AM30</f>
        <v>1854.084838709680</v>
      </c>
      <c r="AO30" s="78" cm="1">
        <f t="array" ref="AO30">AN30</f>
        <v>1854.084838709680</v>
      </c>
      <c r="AP30" s="78" cm="1">
        <f t="array" ref="AP30">AO30</f>
        <v>1854.084838709680</v>
      </c>
      <c r="AQ30" s="78" cm="1">
        <f t="array" ref="AQ30">AP30</f>
        <v>1854.084838709680</v>
      </c>
      <c r="AR30" s="78" cm="1">
        <f t="array" ref="AR30">AQ30</f>
        <v>1854.084838709680</v>
      </c>
      <c r="AS30" s="78" cm="1">
        <f t="array" ref="AS30">AR30</f>
        <v>1854.084838709680</v>
      </c>
      <c r="AT30" s="78" cm="1">
        <f t="array" ref="AT30">AS30</f>
        <v>1854.084838709680</v>
      </c>
      <c r="AU30" s="78" cm="1">
        <f t="array" ref="AU30">AT30</f>
        <v>1854.084838709680</v>
      </c>
      <c r="AV30" s="78" cm="1">
        <f t="array" ref="AV30">AU30</f>
        <v>1854.084838709680</v>
      </c>
      <c r="AW30" s="78" cm="1">
        <f t="array" ref="AW30">AV30</f>
        <v>1854.084838709680</v>
      </c>
      <c r="AX30" s="78" cm="1">
        <f t="array" ref="AX30">AW30</f>
        <v>1854.084838709680</v>
      </c>
      <c r="AY30" s="78" cm="1">
        <f t="array" ref="AY30">AX30</f>
        <v>1854.084838709680</v>
      </c>
      <c r="AZ30" s="17"/>
    </row>
    <row r="31" ht="16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11"/>
      <c r="S31" s="61" cm="1">
        <f t="array" ref="S31">S30+1</f>
        <v>6</v>
      </c>
      <c r="T31" t="s" s="94">
        <v>84</v>
      </c>
      <c r="U31" s="78" cm="1">
        <f t="array" ref="U31">AVERAGE(U13:AY13)</f>
        <v>2067.695806451610</v>
      </c>
      <c r="V31" s="78" cm="1">
        <f t="array" ref="V31">U31</f>
        <v>2067.695806451610</v>
      </c>
      <c r="W31" s="78" cm="1">
        <f t="array" ref="W31">V31</f>
        <v>2067.695806451610</v>
      </c>
      <c r="X31" s="78" cm="1">
        <f t="array" ref="X31">W31</f>
        <v>2067.695806451610</v>
      </c>
      <c r="Y31" s="78" cm="1">
        <f t="array" ref="Y31">X31</f>
        <v>2067.695806451610</v>
      </c>
      <c r="Z31" s="78" cm="1">
        <f t="array" ref="Z31">Y31</f>
        <v>2067.695806451610</v>
      </c>
      <c r="AA31" s="78" cm="1">
        <f t="array" ref="AA31">Z31</f>
        <v>2067.695806451610</v>
      </c>
      <c r="AB31" s="78" cm="1">
        <f t="array" ref="AB31">AA31</f>
        <v>2067.695806451610</v>
      </c>
      <c r="AC31" s="78" cm="1">
        <f t="array" ref="AC31">AB31</f>
        <v>2067.695806451610</v>
      </c>
      <c r="AD31" s="78" cm="1">
        <f t="array" ref="AD31">AC31</f>
        <v>2067.695806451610</v>
      </c>
      <c r="AE31" s="78" cm="1">
        <f t="array" ref="AE31">AD31</f>
        <v>2067.695806451610</v>
      </c>
      <c r="AF31" s="78" cm="1">
        <f t="array" ref="AF31">AE31</f>
        <v>2067.695806451610</v>
      </c>
      <c r="AG31" s="78" cm="1">
        <f t="array" ref="AG31">AF31</f>
        <v>2067.695806451610</v>
      </c>
      <c r="AH31" s="78" cm="1">
        <f t="array" ref="AH31">AG31</f>
        <v>2067.695806451610</v>
      </c>
      <c r="AI31" s="78" cm="1">
        <f t="array" ref="AI31">AH31</f>
        <v>2067.695806451610</v>
      </c>
      <c r="AJ31" s="78" cm="1">
        <f t="array" ref="AJ31">AI31</f>
        <v>2067.695806451610</v>
      </c>
      <c r="AK31" s="78" cm="1">
        <f t="array" ref="AK31">AJ31</f>
        <v>2067.695806451610</v>
      </c>
      <c r="AL31" s="78" cm="1">
        <f t="array" ref="AL31">AK31</f>
        <v>2067.695806451610</v>
      </c>
      <c r="AM31" s="78" cm="1">
        <f t="array" ref="AM31">AL31</f>
        <v>2067.695806451610</v>
      </c>
      <c r="AN31" s="78" cm="1">
        <f t="array" ref="AN31">AM31</f>
        <v>2067.695806451610</v>
      </c>
      <c r="AO31" s="78" cm="1">
        <f t="array" ref="AO31">AN31</f>
        <v>2067.695806451610</v>
      </c>
      <c r="AP31" s="78" cm="1">
        <f t="array" ref="AP31">AO31</f>
        <v>2067.695806451610</v>
      </c>
      <c r="AQ31" s="78" cm="1">
        <f t="array" ref="AQ31">AP31</f>
        <v>2067.695806451610</v>
      </c>
      <c r="AR31" s="78" cm="1">
        <f t="array" ref="AR31">AQ31</f>
        <v>2067.695806451610</v>
      </c>
      <c r="AS31" s="78" cm="1">
        <f t="array" ref="AS31">AR31</f>
        <v>2067.695806451610</v>
      </c>
      <c r="AT31" s="78" cm="1">
        <f t="array" ref="AT31">AS31</f>
        <v>2067.695806451610</v>
      </c>
      <c r="AU31" s="78" cm="1">
        <f t="array" ref="AU31">AT31</f>
        <v>2067.695806451610</v>
      </c>
      <c r="AV31" s="78" cm="1">
        <f t="array" ref="AV31">AU31</f>
        <v>2067.695806451610</v>
      </c>
      <c r="AW31" s="78" cm="1">
        <f t="array" ref="AW31">AV31</f>
        <v>2067.695806451610</v>
      </c>
      <c r="AX31" s="78" cm="1">
        <f t="array" ref="AX31">AW31</f>
        <v>2067.695806451610</v>
      </c>
      <c r="AY31" s="78" cm="1">
        <f t="array" ref="AY31">AX31</f>
        <v>2067.695806451610</v>
      </c>
      <c r="AZ31" s="17"/>
    </row>
    <row r="32" ht="16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11"/>
      <c r="S32" s="61" cm="1">
        <f t="array" ref="S32">S31+1</f>
        <v>7</v>
      </c>
      <c r="T32" t="s" s="94">
        <v>85</v>
      </c>
      <c r="U32" s="78" cm="1">
        <f t="array" ref="U32">AVERAGE(U14:AY14)</f>
        <v>2701.762258064520</v>
      </c>
      <c r="V32" s="78" cm="1">
        <f t="array" ref="V32">U32</f>
        <v>2701.762258064520</v>
      </c>
      <c r="W32" s="78" cm="1">
        <f t="array" ref="W32">V32</f>
        <v>2701.762258064520</v>
      </c>
      <c r="X32" s="78" cm="1">
        <f t="array" ref="X32">W32</f>
        <v>2701.762258064520</v>
      </c>
      <c r="Y32" s="78" cm="1">
        <f t="array" ref="Y32">X32</f>
        <v>2701.762258064520</v>
      </c>
      <c r="Z32" s="78" cm="1">
        <f t="array" ref="Z32">Y32</f>
        <v>2701.762258064520</v>
      </c>
      <c r="AA32" s="78" cm="1">
        <f t="array" ref="AA32">Z32</f>
        <v>2701.762258064520</v>
      </c>
      <c r="AB32" s="78" cm="1">
        <f t="array" ref="AB32">AA32</f>
        <v>2701.762258064520</v>
      </c>
      <c r="AC32" s="78" cm="1">
        <f t="array" ref="AC32">AB32</f>
        <v>2701.762258064520</v>
      </c>
      <c r="AD32" s="78" cm="1">
        <f t="array" ref="AD32">AC32</f>
        <v>2701.762258064520</v>
      </c>
      <c r="AE32" s="78" cm="1">
        <f t="array" ref="AE32">AD32</f>
        <v>2701.762258064520</v>
      </c>
      <c r="AF32" s="78" cm="1">
        <f t="array" ref="AF32">AE32</f>
        <v>2701.762258064520</v>
      </c>
      <c r="AG32" s="78" cm="1">
        <f t="array" ref="AG32">AF32</f>
        <v>2701.762258064520</v>
      </c>
      <c r="AH32" s="78" cm="1">
        <f t="array" ref="AH32">AG32</f>
        <v>2701.762258064520</v>
      </c>
      <c r="AI32" s="78" cm="1">
        <f t="array" ref="AI32">AH32</f>
        <v>2701.762258064520</v>
      </c>
      <c r="AJ32" s="78" cm="1">
        <f t="array" ref="AJ32">AI32</f>
        <v>2701.762258064520</v>
      </c>
      <c r="AK32" s="78" cm="1">
        <f t="array" ref="AK32">AJ32</f>
        <v>2701.762258064520</v>
      </c>
      <c r="AL32" s="78" cm="1">
        <f t="array" ref="AL32">AK32</f>
        <v>2701.762258064520</v>
      </c>
      <c r="AM32" s="78" cm="1">
        <f t="array" ref="AM32">AL32</f>
        <v>2701.762258064520</v>
      </c>
      <c r="AN32" s="78" cm="1">
        <f t="array" ref="AN32">AM32</f>
        <v>2701.762258064520</v>
      </c>
      <c r="AO32" s="78" cm="1">
        <f t="array" ref="AO32">AN32</f>
        <v>2701.762258064520</v>
      </c>
      <c r="AP32" s="78" cm="1">
        <f t="array" ref="AP32">AO32</f>
        <v>2701.762258064520</v>
      </c>
      <c r="AQ32" s="78" cm="1">
        <f t="array" ref="AQ32">AP32</f>
        <v>2701.762258064520</v>
      </c>
      <c r="AR32" s="78" cm="1">
        <f t="array" ref="AR32">AQ32</f>
        <v>2701.762258064520</v>
      </c>
      <c r="AS32" s="78" cm="1">
        <f t="array" ref="AS32">AR32</f>
        <v>2701.762258064520</v>
      </c>
      <c r="AT32" s="78" cm="1">
        <f t="array" ref="AT32">AS32</f>
        <v>2701.762258064520</v>
      </c>
      <c r="AU32" s="78" cm="1">
        <f t="array" ref="AU32">AT32</f>
        <v>2701.762258064520</v>
      </c>
      <c r="AV32" s="78" cm="1">
        <f t="array" ref="AV32">AU32</f>
        <v>2701.762258064520</v>
      </c>
      <c r="AW32" s="78" cm="1">
        <f t="array" ref="AW32">AV32</f>
        <v>2701.762258064520</v>
      </c>
      <c r="AX32" s="78" cm="1">
        <f t="array" ref="AX32">AW32</f>
        <v>2701.762258064520</v>
      </c>
      <c r="AY32" s="78" cm="1">
        <f t="array" ref="AY32">AX32</f>
        <v>2701.762258064520</v>
      </c>
      <c r="AZ32" s="17"/>
    </row>
    <row r="33" ht="16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11"/>
      <c r="S33" s="61" cm="1">
        <f t="array" ref="S33">S32+1</f>
        <v>8</v>
      </c>
      <c r="T33" t="s" s="94">
        <v>86</v>
      </c>
      <c r="U33" s="78" cm="1">
        <f t="array" ref="U33">AVERAGE(U15:AY15)</f>
        <v>712.610967741935</v>
      </c>
      <c r="V33" s="78" cm="1">
        <f t="array" ref="V33">U33</f>
        <v>712.610967741935</v>
      </c>
      <c r="W33" s="78" cm="1">
        <f t="array" ref="W33">V33</f>
        <v>712.610967741935</v>
      </c>
      <c r="X33" s="78" cm="1">
        <f t="array" ref="X33">W33</f>
        <v>712.610967741935</v>
      </c>
      <c r="Y33" s="78" cm="1">
        <f t="array" ref="Y33">X33</f>
        <v>712.610967741935</v>
      </c>
      <c r="Z33" s="78" cm="1">
        <f t="array" ref="Z33">Y33</f>
        <v>712.610967741935</v>
      </c>
      <c r="AA33" s="78" cm="1">
        <f t="array" ref="AA33">Z33</f>
        <v>712.610967741935</v>
      </c>
      <c r="AB33" s="78" cm="1">
        <f t="array" ref="AB33">AA33</f>
        <v>712.610967741935</v>
      </c>
      <c r="AC33" s="78" cm="1">
        <f t="array" ref="AC33">AB33</f>
        <v>712.610967741935</v>
      </c>
      <c r="AD33" s="78" cm="1">
        <f t="array" ref="AD33">AC33</f>
        <v>712.610967741935</v>
      </c>
      <c r="AE33" s="78" cm="1">
        <f t="array" ref="AE33">AD33</f>
        <v>712.610967741935</v>
      </c>
      <c r="AF33" s="78" cm="1">
        <f t="array" ref="AF33">AE33</f>
        <v>712.610967741935</v>
      </c>
      <c r="AG33" s="78" cm="1">
        <f t="array" ref="AG33">AF33</f>
        <v>712.610967741935</v>
      </c>
      <c r="AH33" s="78" cm="1">
        <f t="array" ref="AH33">AG33</f>
        <v>712.610967741935</v>
      </c>
      <c r="AI33" s="78" cm="1">
        <f t="array" ref="AI33">AH33</f>
        <v>712.610967741935</v>
      </c>
      <c r="AJ33" s="78" cm="1">
        <f t="array" ref="AJ33">AI33</f>
        <v>712.610967741935</v>
      </c>
      <c r="AK33" s="78" cm="1">
        <f t="array" ref="AK33">AJ33</f>
        <v>712.610967741935</v>
      </c>
      <c r="AL33" s="78" cm="1">
        <f t="array" ref="AL33">AK33</f>
        <v>712.610967741935</v>
      </c>
      <c r="AM33" s="78" cm="1">
        <f t="array" ref="AM33">AL33</f>
        <v>712.610967741935</v>
      </c>
      <c r="AN33" s="78" cm="1">
        <f t="array" ref="AN33">AM33</f>
        <v>712.610967741935</v>
      </c>
      <c r="AO33" s="78" cm="1">
        <f t="array" ref="AO33">AN33</f>
        <v>712.610967741935</v>
      </c>
      <c r="AP33" s="78" cm="1">
        <f t="array" ref="AP33">AO33</f>
        <v>712.610967741935</v>
      </c>
      <c r="AQ33" s="78" cm="1">
        <f t="array" ref="AQ33">AP33</f>
        <v>712.610967741935</v>
      </c>
      <c r="AR33" s="78" cm="1">
        <f t="array" ref="AR33">AQ33</f>
        <v>712.610967741935</v>
      </c>
      <c r="AS33" s="78" cm="1">
        <f t="array" ref="AS33">AR33</f>
        <v>712.610967741935</v>
      </c>
      <c r="AT33" s="78" cm="1">
        <f t="array" ref="AT33">AS33</f>
        <v>712.610967741935</v>
      </c>
      <c r="AU33" s="78" cm="1">
        <f t="array" ref="AU33">AT33</f>
        <v>712.610967741935</v>
      </c>
      <c r="AV33" s="78" cm="1">
        <f t="array" ref="AV33">AU33</f>
        <v>712.610967741935</v>
      </c>
      <c r="AW33" s="78" cm="1">
        <f t="array" ref="AW33">AV33</f>
        <v>712.610967741935</v>
      </c>
      <c r="AX33" s="78" cm="1">
        <f t="array" ref="AX33">AW33</f>
        <v>712.610967741935</v>
      </c>
      <c r="AY33" s="78" cm="1">
        <f t="array" ref="AY33">AX33</f>
        <v>712.610967741935</v>
      </c>
      <c r="AZ33" s="17"/>
    </row>
    <row r="34" ht="16" customHeight="1">
      <c r="A34" s="12"/>
      <c r="B34" s="119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20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7"/>
    </row>
    <row r="35" ht="16" customHeight="1">
      <c r="A35" s="12"/>
      <c r="B35" s="119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7"/>
    </row>
    <row r="36" ht="16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7"/>
    </row>
    <row r="37" ht="16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t="s" s="121">
        <v>87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7"/>
    </row>
    <row r="38" ht="14.2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t="s" s="121">
        <v>60</v>
      </c>
      <c r="U38" s="13"/>
      <c r="V38" s="13"/>
      <c r="W38" s="13"/>
      <c r="X38" s="13"/>
      <c r="Y38" s="122"/>
      <c r="Z38" s="47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7"/>
    </row>
    <row r="39" ht="20.2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t="s" s="123">
        <v>11</v>
      </c>
      <c r="U39" t="s" s="124">
        <v>12</v>
      </c>
      <c r="V39" t="s" s="124">
        <v>13</v>
      </c>
      <c r="W39" t="s" s="124">
        <v>14</v>
      </c>
      <c r="X39" t="s" s="125">
        <v>15</v>
      </c>
      <c r="Y39" t="s" s="126">
        <v>16</v>
      </c>
      <c r="Z39" t="s" s="127">
        <v>17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7"/>
    </row>
    <row r="40" ht="19.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28" cm="1">
        <f t="array" ref="T40">_xlfn.AVERAGEIF($U$6:$AY$6,T39,$U$8:$AY$8)</f>
        <v>35422.818</v>
      </c>
      <c r="U40" s="129" cm="1">
        <f t="array" ref="U40">_xlfn.AVERAGEIF($U$6:$AY$6,U39,$U$8:$AY$8)</f>
        <v>43899.1</v>
      </c>
      <c r="V40" s="129" cm="1">
        <f t="array" ref="V40">_xlfn.AVERAGEIF($U$6:$AY$6,V39,$U$8:$AY$8)</f>
        <v>45164.8175</v>
      </c>
      <c r="W40" s="129" cm="1">
        <f t="array" ref="W40">_xlfn.AVERAGEIF($U$6:$AY$6,W39,$U$8:$AY$8)</f>
        <v>44228.4775</v>
      </c>
      <c r="X40" s="129" cm="1">
        <f t="array" ref="X40">_xlfn.AVERAGEIF($U$6:$AY$6,X39,$U$8:$AY$8)</f>
        <v>54661.31</v>
      </c>
      <c r="Y40" s="130" cm="1">
        <f t="array" ref="Y40">_xlfn.AVERAGEIF($U$6:$AY$6,Y39,$U$8:$AY$8)</f>
        <v>65755.850000000006</v>
      </c>
      <c r="Z40" s="131" cm="1">
        <f t="array" ref="Z40">_xlfn.AVERAGEIF($U$6:$AY$6,Z39,$U$8:$AY$8)</f>
        <v>51547.182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7"/>
    </row>
    <row r="41" ht="19.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t="s" s="132">
        <v>63</v>
      </c>
      <c r="U41" s="133"/>
      <c r="V41" s="133"/>
      <c r="W41" s="133"/>
      <c r="X41" s="133"/>
      <c r="Y41" s="134"/>
      <c r="Z41" s="13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7"/>
    </row>
    <row r="42" ht="18.75" customHeight="1">
      <c r="A42" s="12"/>
      <c r="B42" s="13"/>
      <c r="C42" s="13"/>
      <c r="D42" s="135">
        <v>46023</v>
      </c>
      <c r="E42" s="135">
        <v>46081</v>
      </c>
      <c r="F42" s="135">
        <v>46112</v>
      </c>
      <c r="G42" s="135">
        <v>46142</v>
      </c>
      <c r="H42" s="135">
        <v>46173</v>
      </c>
      <c r="I42" s="135">
        <v>46203</v>
      </c>
      <c r="J42" s="135">
        <v>46234</v>
      </c>
      <c r="K42" s="135">
        <v>46265</v>
      </c>
      <c r="L42" s="135">
        <v>46295</v>
      </c>
      <c r="M42" s="135">
        <v>46326</v>
      </c>
      <c r="N42" s="135"/>
      <c r="O42" s="135">
        <v>46356</v>
      </c>
      <c r="P42" s="135">
        <v>46387</v>
      </c>
      <c r="Q42" s="13"/>
      <c r="R42" s="13"/>
      <c r="S42" s="13"/>
      <c r="T42" t="s" s="123">
        <v>11</v>
      </c>
      <c r="U42" t="s" s="124">
        <v>12</v>
      </c>
      <c r="V42" t="s" s="124">
        <v>13</v>
      </c>
      <c r="W42" t="s" s="124">
        <v>14</v>
      </c>
      <c r="X42" t="s" s="125">
        <v>15</v>
      </c>
      <c r="Y42" t="s" s="126">
        <v>16</v>
      </c>
      <c r="Z42" t="s" s="136">
        <v>17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7"/>
    </row>
    <row r="43" ht="19.5" customHeight="1">
      <c r="A43" s="12"/>
      <c r="B43" t="s" s="121">
        <v>88</v>
      </c>
      <c r="C43" s="13"/>
      <c r="D43" s="118">
        <v>1692201.45</v>
      </c>
      <c r="E43" s="118">
        <v>1502938.71425625</v>
      </c>
      <c r="F43" s="118">
        <v>1857781.84725</v>
      </c>
      <c r="G43" s="118">
        <v>1926520.408825</v>
      </c>
      <c r="H43" s="118">
        <v>2049258.9704</v>
      </c>
      <c r="I43" s="137">
        <v>2171997.531975</v>
      </c>
      <c r="J43" s="118">
        <v>2294736.09355</v>
      </c>
      <c r="K43" s="118">
        <v>2417474.655125</v>
      </c>
      <c r="L43" s="118">
        <v>2540213.2167</v>
      </c>
      <c r="M43" s="118">
        <v>2716951.778275</v>
      </c>
      <c r="N43" s="118"/>
      <c r="O43" s="118">
        <v>2839690.33985</v>
      </c>
      <c r="P43" s="118">
        <v>3124428.901425</v>
      </c>
      <c r="Q43" s="13"/>
      <c r="R43" s="13"/>
      <c r="S43" s="13"/>
      <c r="T43" s="128" cm="1">
        <f t="array" ref="T43">_xlfn.AVERAGEIF($U$6:$AY$6,T48,$U$9:$AY$9)</f>
        <v>27238.062</v>
      </c>
      <c r="U43" s="129" cm="1">
        <f t="array" ref="U43">_xlfn.AVERAGEIF($U$6:$AY$6,U48,$U$9:$AY$9)</f>
        <v>30226.322</v>
      </c>
      <c r="V43" s="129" cm="1">
        <f t="array" ref="V43">_xlfn.AVERAGEIF($U$6:$AY$6,V48,$U$9:$AY$9)</f>
        <v>32247.9925</v>
      </c>
      <c r="W43" s="129" cm="1">
        <f t="array" ref="W43">_xlfn.AVERAGEIF($U$6:$AY$6,W48,$U$9:$AY$9)</f>
        <v>30658.4025</v>
      </c>
      <c r="X43" s="129" cm="1">
        <f t="array" ref="X43">_xlfn.AVERAGEIF($U$6:$AY$6,X48,$U$9:$AY$9)</f>
        <v>31973.3625</v>
      </c>
      <c r="Y43" s="130" cm="1">
        <f t="array" ref="Y43">_xlfn.AVERAGEIF($U$6:$AY$6,Y48,$U$9:$AY$9)</f>
        <v>36467.7</v>
      </c>
      <c r="Z43" s="131" cm="1">
        <f t="array" ref="Z43">_xlfn.AVERAGEIF($U$6:$AY$6,Z48,$U$9:$AY$9)</f>
        <v>28270.402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7"/>
    </row>
    <row r="44" ht="19.5" customHeight="1">
      <c r="A44" s="12"/>
      <c r="B44" t="s" s="121">
        <v>89</v>
      </c>
      <c r="C44" s="13"/>
      <c r="D44" s="118" cm="1">
        <f t="array" ref="D44">D43</f>
        <v>1692201.45</v>
      </c>
      <c r="E44" s="118" cm="1">
        <f t="array" ref="E44">D44+E43</f>
        <v>3195140.16425625</v>
      </c>
      <c r="F44" s="118" cm="1">
        <f t="array" ref="F44">E44+F43</f>
        <v>5052922.01150625</v>
      </c>
      <c r="G44" s="118" cm="1">
        <f t="array" ref="G44">F44+G43</f>
        <v>6979442.42033125</v>
      </c>
      <c r="H44" s="118" cm="1">
        <f t="array" ref="H44">G44+H43</f>
        <v>9028701.390731251</v>
      </c>
      <c r="I44" s="137" cm="1">
        <f t="array" ref="I44">H44+I43</f>
        <v>11200698.9227063</v>
      </c>
      <c r="J44" s="118" cm="1">
        <f t="array" ref="J44">I44+J43</f>
        <v>13495435.0162563</v>
      </c>
      <c r="K44" s="118" cm="1">
        <f t="array" ref="K44">J44+K43</f>
        <v>15912909.6713813</v>
      </c>
      <c r="L44" s="118" cm="1">
        <f t="array" ref="L44">K44+L43</f>
        <v>18453122.8880813</v>
      </c>
      <c r="M44" s="118" cm="1">
        <f t="array" ref="M44">L44+M43</f>
        <v>21170074.6663563</v>
      </c>
      <c r="N44" s="118"/>
      <c r="O44" s="118" cm="1">
        <f t="array" ref="O44">M44+O43</f>
        <v>24009765.0062063</v>
      </c>
      <c r="P44" s="118" cm="1">
        <f t="array" ref="P44">O44+P43</f>
        <v>27134193.9076313</v>
      </c>
      <c r="Q44" s="13"/>
      <c r="R44" s="13"/>
      <c r="S44" s="13"/>
      <c r="T44" t="s" s="132">
        <v>65</v>
      </c>
      <c r="U44" s="133"/>
      <c r="V44" s="133"/>
      <c r="W44" s="133"/>
      <c r="X44" s="133"/>
      <c r="Y44" s="134"/>
      <c r="Z44" s="13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7"/>
    </row>
    <row r="45" ht="21.75" customHeight="1">
      <c r="A45" s="12"/>
      <c r="B45" s="13"/>
      <c r="C45" s="13"/>
      <c r="D45" s="13"/>
      <c r="E45" s="13"/>
      <c r="F45" s="13"/>
      <c r="G45" s="13"/>
      <c r="H45" s="13"/>
      <c r="I45" s="138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t="s" s="123">
        <v>11</v>
      </c>
      <c r="U45" t="s" s="124">
        <v>12</v>
      </c>
      <c r="V45" t="s" s="124">
        <v>13</v>
      </c>
      <c r="W45" t="s" s="124">
        <v>14</v>
      </c>
      <c r="X45" t="s" s="125">
        <v>15</v>
      </c>
      <c r="Y45" t="s" s="126">
        <v>16</v>
      </c>
      <c r="Z45" t="s" s="136">
        <v>17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7"/>
    </row>
    <row r="46" ht="19.5" customHeight="1">
      <c r="A46" s="12"/>
      <c r="B46" t="s" s="121">
        <v>90</v>
      </c>
      <c r="C46" s="13"/>
      <c r="D46" s="118">
        <v>1692201.45</v>
      </c>
      <c r="E46" s="118">
        <v>1276895</v>
      </c>
      <c r="F46" s="118" cm="1">
        <f t="array" ref="F46">E8</f>
        <v>1492282.55</v>
      </c>
      <c r="G46" s="13"/>
      <c r="H46" s="13"/>
      <c r="I46" s="138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28" cm="1">
        <f t="array" ref="T46">_xlfn.AVERAGEIF($U$6:$AY$6,T39,$U$10:$AY$10)</f>
        <v>0</v>
      </c>
      <c r="U46" s="129" cm="1">
        <f t="array" ref="U46">_xlfn.AVERAGEIF($U$6:$AY$6,U39,$U$10:$AY$10)</f>
        <v>5137.374</v>
      </c>
      <c r="V46" s="129" cm="1">
        <f t="array" ref="V46">_xlfn.AVERAGEIF($U$6:$AY$6,V39,$U$10:$AY$10)</f>
        <v>4844.9175</v>
      </c>
      <c r="W46" s="129" cm="1">
        <f t="array" ref="W46">_xlfn.AVERAGEIF($U$6:$AY$6,W39,$U$10:$AY$10)</f>
        <v>5377.3825</v>
      </c>
      <c r="X46" s="129" cm="1">
        <f t="array" ref="X46">_xlfn.AVERAGEIF($U$6:$AY$6,X39,$U$10:$AY$10)</f>
        <v>11587.6175</v>
      </c>
      <c r="Y46" s="130" cm="1">
        <f t="array" ref="Y46">_xlfn.AVERAGEIF($U$6:$AY$6,Y39,$U$10:$AY$10)</f>
        <v>16908.31</v>
      </c>
      <c r="Z46" s="131" cm="1">
        <f t="array" ref="Z46">_xlfn.AVERAGEIF($U$6:$AY$6,Z39,$U$10:$AY$10)</f>
        <v>15561.672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7"/>
    </row>
    <row r="47" ht="19.5" customHeight="1">
      <c r="A47" s="12"/>
      <c r="B47" t="s" s="121">
        <v>91</v>
      </c>
      <c r="C47" s="13"/>
      <c r="D47" s="118" cm="1">
        <f t="array" ref="D47">D46</f>
        <v>1692201.45</v>
      </c>
      <c r="E47" s="118" cm="1">
        <f t="array" ref="E47">D47+E46</f>
        <v>2969096.45</v>
      </c>
      <c r="F47" s="118" cm="1">
        <f t="array" ref="F47">E47+F46</f>
        <v>4461379</v>
      </c>
      <c r="G47" s="13"/>
      <c r="H47" s="13"/>
      <c r="I47" s="138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t="s" s="132">
        <v>66</v>
      </c>
      <c r="U47" s="133"/>
      <c r="V47" s="133"/>
      <c r="W47" s="133"/>
      <c r="X47" s="133"/>
      <c r="Y47" s="134"/>
      <c r="Z47" s="13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7"/>
    </row>
    <row r="48" ht="18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t="s" s="123">
        <v>11</v>
      </c>
      <c r="U48" t="s" s="124">
        <v>12</v>
      </c>
      <c r="V48" t="s" s="124">
        <v>13</v>
      </c>
      <c r="W48" t="s" s="124">
        <v>14</v>
      </c>
      <c r="X48" t="s" s="125">
        <v>15</v>
      </c>
      <c r="Y48" t="s" s="126">
        <v>16</v>
      </c>
      <c r="Z48" t="s" s="136">
        <v>17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7"/>
    </row>
    <row r="49" ht="19.5" customHeight="1">
      <c r="A49" s="12"/>
      <c r="B49" s="13"/>
      <c r="C49" s="13"/>
      <c r="D49" s="13"/>
      <c r="E49" s="13"/>
      <c r="F49" s="118" cm="1">
        <f t="array" ref="F49">F44-F47</f>
        <v>591543.01150625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28" cm="1">
        <f t="array" ref="T49">_xlfn.AVERAGEIF($U$6:$AY$6,T45,$U$11:$AY$11)</f>
        <v>2496.372</v>
      </c>
      <c r="U49" s="129" cm="1">
        <f t="array" ref="U49">_xlfn.AVERAGEIF($U$6:$AY$6,U45,$U$11:$AY$11)</f>
        <v>1203.84</v>
      </c>
      <c r="V49" s="129" cm="1">
        <f t="array" ref="V49">_xlfn.AVERAGEIF($U$6:$AY$6,V45,$U$11:$AY$11)</f>
        <v>742.0225</v>
      </c>
      <c r="W49" s="129" cm="1">
        <f t="array" ref="W49">_xlfn.AVERAGEIF($U$6:$AY$6,W45,$U$11:$AY$11)</f>
        <v>989.2175</v>
      </c>
      <c r="X49" s="129" cm="1">
        <f t="array" ref="X49">_xlfn.AVERAGEIF($U$6:$AY$6,X45,$U$11:$AY$11)</f>
        <v>1912.055</v>
      </c>
      <c r="Y49" s="130" cm="1">
        <f t="array" ref="Y49">_xlfn.AVERAGEIF($U$6:$AY$6,Y45,$U$11:$AY$11)</f>
        <v>2079.7975</v>
      </c>
      <c r="Z49" s="131" cm="1">
        <f t="array" ref="Z49">_xlfn.AVERAGEIF($U$6:$AY$6,Z45,$U$11:$AY$11)</f>
        <v>2207.24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7"/>
    </row>
    <row r="50" ht="19.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t="s" s="132">
        <v>67</v>
      </c>
      <c r="U50" s="133"/>
      <c r="V50" s="133"/>
      <c r="W50" s="133"/>
      <c r="X50" s="133"/>
      <c r="Y50" s="134"/>
      <c r="Z50" s="13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7"/>
    </row>
    <row r="51" ht="18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t="s" s="123">
        <v>11</v>
      </c>
      <c r="U51" t="s" s="124">
        <v>12</v>
      </c>
      <c r="V51" t="s" s="124">
        <v>13</v>
      </c>
      <c r="W51" t="s" s="124">
        <v>14</v>
      </c>
      <c r="X51" t="s" s="125">
        <v>15</v>
      </c>
      <c r="Y51" t="s" s="126">
        <v>16</v>
      </c>
      <c r="Z51" t="s" s="136">
        <v>17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7"/>
    </row>
    <row r="52" ht="19.5" customHeight="1">
      <c r="A52" s="12"/>
      <c r="B52" s="13"/>
      <c r="C52" s="13"/>
      <c r="D52" s="13"/>
      <c r="E52" s="13"/>
      <c r="F52" s="13"/>
      <c r="G52" s="13"/>
      <c r="H52" s="13"/>
      <c r="I52" s="138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28" cm="1">
        <f t="array" ref="T52">_xlfn.AVERAGEIF($U$6:$AY$6,T48,$U$12:$AY$12)</f>
        <v>1284.692</v>
      </c>
      <c r="U52" s="129" cm="1">
        <f t="array" ref="U52">_xlfn.AVERAGEIF($U$6:$AY$6,U48,$U$12:$AY$12)</f>
        <v>1474.88</v>
      </c>
      <c r="V52" s="129" cm="1">
        <f t="array" ref="V52">_xlfn.AVERAGEIF($U$6:$AY$6,V48,$U$12:$AY$12)</f>
        <v>1479.775</v>
      </c>
      <c r="W52" s="129" cm="1">
        <f t="array" ref="W52">_xlfn.AVERAGEIF($U$6:$AY$6,W48,$U$12:$AY$12)</f>
        <v>1383.9425</v>
      </c>
      <c r="X52" s="129" cm="1">
        <f t="array" ref="X52">_xlfn.AVERAGEIF($U$6:$AY$6,X48,$U$12:$AY$12)</f>
        <v>2180.5575</v>
      </c>
      <c r="Y52" s="130" cm="1">
        <f t="array" ref="Y52">_xlfn.AVERAGEIF($U$6:$AY$6,Y48,$U$12:$AY$12)</f>
        <v>4118.7</v>
      </c>
      <c r="Z52" s="131" cm="1">
        <f t="array" ref="Z52">_xlfn.AVERAGEIF($U$6:$AY$6,Z48,$U$12:$AY$12)</f>
        <v>1405.374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7"/>
    </row>
    <row r="53" ht="19.5" customHeight="1">
      <c r="A53" s="12"/>
      <c r="B53" s="29"/>
      <c r="C53" s="29"/>
      <c r="D53" s="29"/>
      <c r="E53" s="29"/>
      <c r="F53" s="29"/>
      <c r="G53" s="14"/>
      <c r="H53" s="14"/>
      <c r="I53" s="14"/>
      <c r="J53" s="29"/>
      <c r="K53" s="29"/>
      <c r="L53" s="29"/>
      <c r="M53" s="29"/>
      <c r="N53" s="14"/>
      <c r="O53" s="14"/>
      <c r="P53" s="14"/>
      <c r="Q53" s="13"/>
      <c r="R53" s="13"/>
      <c r="S53" s="13"/>
      <c r="T53" t="s" s="132">
        <v>68</v>
      </c>
      <c r="U53" s="133"/>
      <c r="V53" s="133"/>
      <c r="W53" s="133"/>
      <c r="X53" s="133"/>
      <c r="Y53" s="134"/>
      <c r="Z53" s="13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7"/>
    </row>
    <row r="54" ht="18.75" customHeight="1">
      <c r="A54" s="12"/>
      <c r="B54" s="13"/>
      <c r="C54" s="15"/>
      <c r="D54" s="15"/>
      <c r="E54" s="15"/>
      <c r="F54" s="15"/>
      <c r="G54" s="15"/>
      <c r="H54" s="15"/>
      <c r="I54" s="138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t="s" s="123">
        <v>11</v>
      </c>
      <c r="U54" t="s" s="124">
        <v>12</v>
      </c>
      <c r="V54" t="s" s="124">
        <v>13</v>
      </c>
      <c r="W54" t="s" s="124">
        <v>14</v>
      </c>
      <c r="X54" t="s" s="125">
        <v>15</v>
      </c>
      <c r="Y54" t="s" s="126">
        <v>16</v>
      </c>
      <c r="Z54" t="s" s="136">
        <v>17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7"/>
    </row>
    <row r="55" ht="19.5" customHeight="1">
      <c r="A55" s="12"/>
      <c r="B55" s="13"/>
      <c r="C55" s="78"/>
      <c r="D55" s="78"/>
      <c r="E55" s="78"/>
      <c r="F55" s="78"/>
      <c r="G55" s="78"/>
      <c r="H55" s="78"/>
      <c r="I55" s="78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28" cm="1">
        <f t="array" ref="T55">_xlfn.AVERAGEIF($U$6:$AY$6,T51,$U$13:$AY$13)</f>
        <v>2067.9</v>
      </c>
      <c r="U55" s="129" cm="1">
        <f t="array" ref="U55">_xlfn.AVERAGEIF($U$6:$AY$6,U51,$U$13:$AY$13)</f>
        <v>2250.032</v>
      </c>
      <c r="V55" s="129" cm="1">
        <f t="array" ref="V55">_xlfn.AVERAGEIF($U$6:$AY$6,V51,$U$13:$AY$13)</f>
        <v>1908.17</v>
      </c>
      <c r="W55" s="129" cm="1">
        <f t="array" ref="W55">_xlfn.AVERAGEIF($U$6:$AY$6,W51,$U$13:$AY$13)</f>
        <v>2329.225</v>
      </c>
      <c r="X55" s="129" cm="1">
        <f t="array" ref="X55">_xlfn.AVERAGEIF($U$6:$AY$6,X51,$U$13:$AY$13)</f>
        <v>2434.2125</v>
      </c>
      <c r="Y55" s="130" cm="1">
        <f t="array" ref="Y55">_xlfn.AVERAGEIF($U$6:$AY$6,Y51,$U$13:$AY$13)</f>
        <v>1645.32</v>
      </c>
      <c r="Z55" s="131" cm="1">
        <f t="array" ref="Z55">_xlfn.AVERAGEIF($U$6:$AY$6,Z51,$U$13:$AY$13)</f>
        <v>1848.24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7"/>
    </row>
    <row r="56" ht="14.25" customHeight="1">
      <c r="A56" s="12"/>
      <c r="B56" s="13"/>
      <c r="C56" s="78"/>
      <c r="D56" s="78"/>
      <c r="E56" s="78"/>
      <c r="F56" s="78"/>
      <c r="G56" s="78"/>
      <c r="H56" s="78"/>
      <c r="I56" s="78"/>
      <c r="J56" s="81"/>
      <c r="K56" s="95"/>
      <c r="L56" s="95"/>
      <c r="M56" s="95"/>
      <c r="N56" s="95"/>
      <c r="O56" s="95"/>
      <c r="P56" s="95"/>
      <c r="Q56" s="110"/>
      <c r="R56" s="13"/>
      <c r="S56" s="13"/>
      <c r="T56" t="s" s="121">
        <v>69</v>
      </c>
      <c r="U56" s="13"/>
      <c r="V56" s="13"/>
      <c r="W56" s="13"/>
      <c r="X56" s="13"/>
      <c r="Y56" s="139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7"/>
    </row>
    <row r="57" ht="18.75" customHeight="1">
      <c r="A57" s="12"/>
      <c r="B57" s="13"/>
      <c r="C57" s="81"/>
      <c r="D57" s="95"/>
      <c r="E57" s="95"/>
      <c r="F57" s="95"/>
      <c r="G57" s="95"/>
      <c r="H57" s="95"/>
      <c r="I57" s="95"/>
      <c r="J57" s="110"/>
      <c r="K57" s="13"/>
      <c r="L57" s="13"/>
      <c r="M57" s="13"/>
      <c r="N57" s="13"/>
      <c r="O57" s="13"/>
      <c r="P57" s="13"/>
      <c r="Q57" s="13"/>
      <c r="R57" s="13"/>
      <c r="S57" s="13"/>
      <c r="T57" t="s" s="123">
        <v>11</v>
      </c>
      <c r="U57" t="s" s="124">
        <v>12</v>
      </c>
      <c r="V57" t="s" s="124">
        <v>13</v>
      </c>
      <c r="W57" t="s" s="124">
        <v>14</v>
      </c>
      <c r="X57" t="s" s="125">
        <v>15</v>
      </c>
      <c r="Y57" t="s" s="126">
        <v>16</v>
      </c>
      <c r="Z57" t="s" s="136">
        <v>17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7"/>
    </row>
    <row r="58" ht="19.5" customHeight="1">
      <c r="A58" s="12"/>
      <c r="B58" s="13"/>
      <c r="C58" s="81"/>
      <c r="D58" s="95"/>
      <c r="E58" s="95"/>
      <c r="F58" s="95"/>
      <c r="G58" s="95"/>
      <c r="H58" s="95"/>
      <c r="I58" s="95"/>
      <c r="J58" s="110"/>
      <c r="K58" s="13"/>
      <c r="L58" s="13"/>
      <c r="M58" s="13"/>
      <c r="N58" s="13"/>
      <c r="O58" s="13"/>
      <c r="P58" s="13"/>
      <c r="Q58" s="13"/>
      <c r="R58" s="13"/>
      <c r="S58" s="13"/>
      <c r="T58" s="128" cm="1">
        <f t="array" ref="T58">_xlfn.AVERAGEIF($U$6:$AY$6,T54,$U$14:$AY$14)</f>
        <v>2059.688</v>
      </c>
      <c r="U58" s="129" cm="1">
        <f t="array" ref="U58">_xlfn.AVERAGEIF($U$6:$AY$6,U54,$U$14:$AY$14)</f>
        <v>2691.954</v>
      </c>
      <c r="V58" s="129" cm="1">
        <f t="array" ref="V58">_xlfn.AVERAGEIF($U$6:$AY$6,V54,$U$14:$AY$14)</f>
        <v>2780.445</v>
      </c>
      <c r="W58" s="129" cm="1">
        <f t="array" ref="W58">_xlfn.AVERAGEIF($U$6:$AY$6,W54,$U$14:$AY$14)</f>
        <v>2547.8375</v>
      </c>
      <c r="X58" s="129" cm="1">
        <f t="array" ref="X58">_xlfn.AVERAGEIF($U$6:$AY$6,X54,$U$14:$AY$14)</f>
        <v>3010.3025</v>
      </c>
      <c r="Y58" s="130" cm="1">
        <f t="array" ref="Y58">_xlfn.AVERAGEIF($U$6:$AY$6,Y54,$U$14:$AY$14)</f>
        <v>3842.5825</v>
      </c>
      <c r="Z58" s="131" cm="1">
        <f t="array" ref="Z58">_xlfn.AVERAGEIF($U$6:$AY$6,Z54,$U$14:$AY$14)</f>
        <v>2254.35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7"/>
    </row>
    <row r="59" ht="14.25" customHeight="1">
      <c r="A59" s="12"/>
      <c r="B59" s="13"/>
      <c r="C59" s="13"/>
      <c r="D59" s="13"/>
      <c r="E59" s="13"/>
      <c r="F59" s="13"/>
      <c r="G59" s="13"/>
      <c r="H59" s="140"/>
      <c r="I59" s="138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9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7"/>
    </row>
    <row r="60" ht="18.75" customHeight="1">
      <c r="A60" s="12"/>
      <c r="B60" s="13"/>
      <c r="C60" s="13"/>
      <c r="D60" s="13"/>
      <c r="E60" s="13"/>
      <c r="F60" s="13"/>
      <c r="G60" s="13"/>
      <c r="H60" s="141"/>
      <c r="I60" s="138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42"/>
      <c r="U60" s="143"/>
      <c r="V60" s="143"/>
      <c r="W60" s="143"/>
      <c r="X60" s="144"/>
      <c r="Y60" s="145"/>
      <c r="Z60" s="146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7"/>
    </row>
    <row r="61" ht="19.5" customHeight="1">
      <c r="A61" s="12"/>
      <c r="B61" s="13"/>
      <c r="C61" s="13"/>
      <c r="D61" s="13"/>
      <c r="E61" s="13"/>
      <c r="F61" s="13"/>
      <c r="G61" s="13"/>
      <c r="H61" s="141"/>
      <c r="I61" s="138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28"/>
      <c r="U61" s="129"/>
      <c r="V61" s="129"/>
      <c r="W61" s="129"/>
      <c r="X61" s="129"/>
      <c r="Y61" s="130"/>
      <c r="Z61" s="13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7"/>
    </row>
    <row r="62" ht="16.5" customHeight="1">
      <c r="A62" s="12"/>
      <c r="B62" s="13"/>
      <c r="C62" s="13"/>
      <c r="D62" s="13"/>
      <c r="E62" s="13"/>
      <c r="F62" s="13"/>
      <c r="G62" s="13"/>
      <c r="H62" s="13"/>
      <c r="I62" s="138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47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7"/>
    </row>
    <row r="63" ht="16" customHeight="1">
      <c r="A63" s="12"/>
      <c r="B63" s="13"/>
      <c r="C63" s="13"/>
      <c r="D63" s="13"/>
      <c r="E63" s="13"/>
      <c r="F63" s="13"/>
      <c r="G63" s="13"/>
      <c r="H63" s="13"/>
      <c r="I63" s="138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t="s" s="148">
        <v>92</v>
      </c>
      <c r="V63" t="s" s="148">
        <v>93</v>
      </c>
      <c r="W63" t="s" s="148">
        <v>93</v>
      </c>
      <c r="X63" t="s" s="148">
        <v>93</v>
      </c>
      <c r="Y63" t="s" s="148">
        <v>94</v>
      </c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7"/>
    </row>
    <row r="64" ht="14.25" customHeight="1">
      <c r="A64" s="12"/>
      <c r="B64" s="13"/>
      <c r="C64" s="13"/>
      <c r="D64" s="13"/>
      <c r="E64" s="13"/>
      <c r="F64" s="13"/>
      <c r="G64" s="13"/>
      <c r="H64" s="13"/>
      <c r="I64" s="138"/>
      <c r="J64" s="13"/>
      <c r="K64" s="13"/>
      <c r="L64" s="13"/>
      <c r="M64" s="13"/>
      <c r="N64" s="13"/>
      <c r="O64" s="13"/>
      <c r="P64" s="13"/>
      <c r="Q64" s="13"/>
      <c r="R64" s="13"/>
      <c r="S64" s="47"/>
      <c r="T64" s="13"/>
      <c r="U64" t="s" s="149">
        <v>95</v>
      </c>
      <c r="V64" t="s" s="150">
        <v>96</v>
      </c>
      <c r="W64" t="s" s="150">
        <v>97</v>
      </c>
      <c r="X64" t="s" s="150">
        <v>98</v>
      </c>
      <c r="Y64" t="s" s="151">
        <v>99</v>
      </c>
      <c r="Z64" t="s" s="152">
        <v>60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7"/>
    </row>
    <row r="65" ht="14.25" customHeight="1">
      <c r="A65" s="12"/>
      <c r="B65" s="13"/>
      <c r="C65" s="13"/>
      <c r="D65" s="13"/>
      <c r="E65" s="13"/>
      <c r="F65" s="13"/>
      <c r="G65" s="13"/>
      <c r="H65" s="14"/>
      <c r="I65" s="153"/>
      <c r="J65" s="13"/>
      <c r="K65" s="13"/>
      <c r="L65" s="13"/>
      <c r="M65" s="13"/>
      <c r="N65" s="13"/>
      <c r="O65" s="13"/>
      <c r="P65" s="13"/>
      <c r="Q65" s="13"/>
      <c r="R65" s="111"/>
      <c r="S65" s="61">
        <v>1</v>
      </c>
      <c r="T65" t="s" s="154">
        <v>100</v>
      </c>
      <c r="U65" s="155" cm="1">
        <f t="array" ref="U65">SUM(U8:AB8)</f>
        <v>360818.2</v>
      </c>
      <c r="V65" s="155" cm="1">
        <f t="array" ref="V65">SUM(AC8:AI8)</f>
        <v>352922.08</v>
      </c>
      <c r="W65" s="155" cm="1">
        <f t="array" ref="W65">SUM(AJ8:AP8)</f>
        <v>354998</v>
      </c>
      <c r="X65" s="155" cm="1">
        <f t="array" ref="X65">SUM(AQ8:AW8)</f>
        <v>339656.91</v>
      </c>
      <c r="Y65" s="156" cm="1">
        <f t="array" ref="Y65">SUM(AX8:AY8)</f>
        <v>85192.13</v>
      </c>
      <c r="Z65" s="157" cm="1">
        <f t="array" ref="Z65">SUM(U65:Y65)</f>
        <v>1493587.32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7"/>
    </row>
    <row r="66" ht="16" customHeight="1">
      <c r="A66" s="12"/>
      <c r="B66" s="13"/>
      <c r="C66" s="13"/>
      <c r="D66" s="13"/>
      <c r="E66" s="13"/>
      <c r="F66" s="13"/>
      <c r="G66" s="13"/>
      <c r="H66" s="141"/>
      <c r="I66" s="138"/>
      <c r="J66" s="13"/>
      <c r="K66" s="13"/>
      <c r="L66" s="13"/>
      <c r="M66" s="13"/>
      <c r="N66" s="13"/>
      <c r="O66" s="13"/>
      <c r="P66" s="13"/>
      <c r="Q66" s="13"/>
      <c r="R66" s="111"/>
      <c r="S66" s="61">
        <v>2</v>
      </c>
      <c r="T66" t="str" s="158" cm="1">
        <f t="array" ref="T66">T9</f>
        <v>Rio Mar</v>
      </c>
      <c r="U66" s="78" cm="1">
        <f t="array" ref="U66">SUM(U9:AB9)</f>
        <v>240703.26</v>
      </c>
      <c r="V66" s="78" cm="1">
        <f t="array" ref="V66">SUM(AC9:AI9)</f>
        <v>238482.77</v>
      </c>
      <c r="W66" s="78" cm="1">
        <f t="array" ref="W66">SUM(AJ9:AP9)</f>
        <v>222107.56</v>
      </c>
      <c r="X66" s="78" cm="1">
        <f t="array" ref="X66">SUM(AQ9:AW9)</f>
        <v>200289.45</v>
      </c>
      <c r="Y66" s="78" cm="1">
        <f t="array" ref="Y66">SUM(AX9:AY9)</f>
        <v>52480.72</v>
      </c>
      <c r="Z66" s="88" cm="1">
        <f t="array" ref="Z66">SUM(U66:Y66)</f>
        <v>954063.76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7"/>
    </row>
    <row r="67" ht="16" customHeight="1">
      <c r="A67" s="12"/>
      <c r="B67" s="13"/>
      <c r="C67" s="13"/>
      <c r="D67" s="13"/>
      <c r="E67" s="13"/>
      <c r="F67" s="13"/>
      <c r="G67" s="13"/>
      <c r="H67" s="141"/>
      <c r="I67" s="138"/>
      <c r="J67" s="13"/>
      <c r="K67" s="13"/>
      <c r="L67" s="13"/>
      <c r="M67" s="13"/>
      <c r="N67" s="13"/>
      <c r="O67" s="13"/>
      <c r="P67" s="13"/>
      <c r="Q67" s="13"/>
      <c r="R67" s="111"/>
      <c r="S67" s="61">
        <v>3</v>
      </c>
      <c r="T67" t="str" s="158" cm="1">
        <f t="array" ref="T67">T10</f>
        <v>Paiva</v>
      </c>
      <c r="U67" s="78" cm="1">
        <f t="array" ref="U67">SUM(U10:AB10)</f>
        <v>75524.490000000005</v>
      </c>
      <c r="V67" s="78" cm="1">
        <f t="array" ref="V67">SUM(AC10:AI10)</f>
        <v>58151.86</v>
      </c>
      <c r="W67" s="78" cm="1">
        <f t="array" ref="W67">SUM(AJ10:AP10)</f>
        <v>53930.72</v>
      </c>
      <c r="X67" s="78" cm="1">
        <f t="array" ref="X67">SUM(AQ10:AW10)</f>
        <v>64651.13</v>
      </c>
      <c r="Y67" s="78" cm="1">
        <f t="array" ref="Y67">SUM(AX10:AY10)</f>
        <v>6109.94</v>
      </c>
      <c r="Z67" s="88" cm="1">
        <f t="array" ref="Z67">SUM(U67:Y67)</f>
        <v>258368.14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7"/>
    </row>
    <row r="68" ht="16" customHeight="1">
      <c r="A68" s="12"/>
      <c r="B68" s="13"/>
      <c r="C68" s="13"/>
      <c r="D68" s="13"/>
      <c r="E68" s="13"/>
      <c r="F68" s="13"/>
      <c r="G68" s="13"/>
      <c r="H68" s="141"/>
      <c r="I68" s="138"/>
      <c r="J68" s="13"/>
      <c r="K68" s="13"/>
      <c r="L68" s="13"/>
      <c r="M68" s="13"/>
      <c r="N68" s="13"/>
      <c r="O68" s="13"/>
      <c r="P68" s="13"/>
      <c r="Q68" s="13"/>
      <c r="R68" s="111"/>
      <c r="S68" s="61">
        <v>4</v>
      </c>
      <c r="T68" t="str" s="158" cm="1">
        <f t="array" ref="T68">T11</f>
        <v>Delivery</v>
      </c>
      <c r="U68" s="78" cm="1">
        <f t="array" ref="U68">SUM(U11:AB11)</f>
        <v>0</v>
      </c>
      <c r="V68" s="78" cm="1">
        <f t="array" ref="V68">SUM(AC11:AI11)</f>
        <v>741.77</v>
      </c>
      <c r="W68" s="78" cm="1">
        <f t="array" ref="W68">SUM(AJ11:AP11)</f>
        <v>15149.56</v>
      </c>
      <c r="X68" s="78" cm="1">
        <f t="array" ref="X68">SUM(AQ11:AW11)</f>
        <v>24614.34</v>
      </c>
      <c r="Y68" s="78" cm="1">
        <f t="array" ref="Y68">SUM(AX11:AY11)</f>
        <v>11923.96</v>
      </c>
      <c r="Z68" s="88" cm="1">
        <f t="array" ref="Z68">SUM(U68:Y68)</f>
        <v>52429.63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7"/>
    </row>
    <row r="69" ht="16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11"/>
      <c r="S69" s="61">
        <v>5</v>
      </c>
      <c r="T69" t="str" s="158" cm="1">
        <f t="array" ref="T69">T12</f>
        <v>Cabanga</v>
      </c>
      <c r="U69" s="78" cm="1">
        <f t="array" ref="U69">SUM(U12:AB12)</f>
        <v>10471.92</v>
      </c>
      <c r="V69" s="78" cm="1">
        <f t="array" ref="V69">SUM(AC12:AI12)</f>
        <v>19822.87</v>
      </c>
      <c r="W69" s="78" cm="1">
        <f t="array" ref="W69">SUM(AJ12:AP12)</f>
        <v>11227.08</v>
      </c>
      <c r="X69" s="78" cm="1">
        <f t="array" ref="X69">SUM(AQ12:AW12)</f>
        <v>13771.89</v>
      </c>
      <c r="Y69" s="78" cm="1">
        <f t="array" ref="Y69">SUM(AX12:AY12)</f>
        <v>2182.87</v>
      </c>
      <c r="Z69" s="88" cm="1">
        <f t="array" ref="Z69">SUM(U69:Y69)</f>
        <v>57476.63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7"/>
    </row>
    <row r="70" ht="16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11"/>
      <c r="S70" s="61">
        <v>6</v>
      </c>
      <c r="T70" t="str" s="158" cm="1">
        <f t="array" ref="T70">T13</f>
        <v>Velocity</v>
      </c>
      <c r="U70" s="78" cm="1">
        <f t="array" ref="U70">SUM(U13:AB13)</f>
        <v>14388.02</v>
      </c>
      <c r="V70" s="78" cm="1">
        <f t="array" ref="V70">SUM(AC13:AI13)</f>
        <v>15057.02</v>
      </c>
      <c r="W70" s="78" cm="1">
        <f t="array" ref="W70">SUM(AJ13:AP13)</f>
        <v>15622.93</v>
      </c>
      <c r="X70" s="78" cm="1">
        <f t="array" ref="X70">SUM(AQ13:AW13)</f>
        <v>13172.89</v>
      </c>
      <c r="Y70" s="78" cm="1">
        <f t="array" ref="Y70">SUM(AX13:AY13)</f>
        <v>5857.71</v>
      </c>
      <c r="Z70" s="88" cm="1">
        <f t="array" ref="Z70">SUM(U70:Y70)</f>
        <v>64098.57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7"/>
    </row>
    <row r="71" ht="16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11"/>
      <c r="S71" s="61">
        <v>7</v>
      </c>
      <c r="T71" t="str" s="158" cm="1">
        <f t="array" ref="T71">T14</f>
        <v>Lagoa Azul</v>
      </c>
      <c r="U71" s="78" cm="1">
        <f t="array" ref="U71">SUM(U14:AB14)</f>
        <v>14964.25</v>
      </c>
      <c r="V71" s="78" cm="1">
        <f t="array" ref="V71">SUM(AC14:AI14)</f>
        <v>13803.69</v>
      </c>
      <c r="W71" s="78" cm="1">
        <f t="array" ref="W71">SUM(AJ14:AP14)</f>
        <v>33139.2</v>
      </c>
      <c r="X71" s="78" cm="1">
        <f t="array" ref="X71">SUM(AQ14:AW14)</f>
        <v>16328.82</v>
      </c>
      <c r="Y71" s="78" cm="1">
        <f t="array" ref="Y71">SUM(AX14:AY14)</f>
        <v>5518.67</v>
      </c>
      <c r="Z71" s="88" cm="1">
        <f t="array" ref="Z71">SUM(U71:Y71)</f>
        <v>83754.63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7"/>
    </row>
    <row r="72" ht="16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11"/>
      <c r="S72" s="61">
        <v>8</v>
      </c>
      <c r="T72" t="str" s="159" cm="1">
        <f t="array" ref="T72">T15</f>
        <v>Maison</v>
      </c>
      <c r="U72" s="78" cm="1">
        <f t="array" ref="U72">SUM(U15:AB15)</f>
        <v>4765.97</v>
      </c>
      <c r="V72" s="78" cm="1">
        <f t="array" ref="V72">SUM(AC15:AI15)</f>
        <v>6355.25</v>
      </c>
      <c r="W72" s="78" cm="1">
        <f t="array" ref="W72">SUM(AJ15:AP15)</f>
        <v>3652.97</v>
      </c>
      <c r="X72" s="78" cm="1">
        <f t="array" ref="X72">SUM(AQ15:AW15)</f>
        <v>6198.39</v>
      </c>
      <c r="Y72" s="78" cm="1">
        <f t="array" ref="Y72">SUM(AX15:AY15)</f>
        <v>1118.36</v>
      </c>
      <c r="Z72" s="88" cm="1">
        <f t="array" ref="Z72">SUM(U72:Y72)</f>
        <v>22090.94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7"/>
    </row>
    <row r="73" ht="16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20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7"/>
    </row>
    <row r="74" ht="16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7"/>
    </row>
    <row r="75" ht="16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7"/>
    </row>
    <row r="76" ht="16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7"/>
    </row>
    <row r="77" ht="16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7"/>
    </row>
    <row r="78" ht="16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7"/>
    </row>
    <row r="79" ht="16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7"/>
    </row>
    <row r="80" ht="16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7"/>
    </row>
    <row r="81" ht="16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7"/>
    </row>
    <row r="82" ht="16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7"/>
    </row>
    <row r="83" ht="16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7"/>
    </row>
    <row r="84" ht="16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7"/>
    </row>
    <row r="85" ht="16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7"/>
    </row>
    <row r="86" ht="16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7"/>
    </row>
    <row r="87" ht="16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7"/>
    </row>
    <row r="88" ht="16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7"/>
    </row>
    <row r="89" ht="16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7"/>
    </row>
    <row r="90" ht="16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7"/>
    </row>
    <row r="91" ht="16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7"/>
    </row>
    <row r="92" ht="16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7"/>
    </row>
    <row r="93" ht="16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7"/>
    </row>
    <row r="94" ht="16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7"/>
    </row>
    <row r="95" ht="16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7"/>
    </row>
    <row r="96" ht="16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7"/>
    </row>
    <row r="97" ht="16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7"/>
    </row>
    <row r="98" ht="16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7"/>
    </row>
    <row r="99" ht="16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7"/>
    </row>
    <row r="100" ht="16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7"/>
    </row>
    <row r="101" ht="16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7"/>
    </row>
    <row r="102" ht="16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7"/>
    </row>
    <row r="103" ht="16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7"/>
    </row>
    <row r="104" ht="16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7"/>
    </row>
    <row r="105" ht="16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7"/>
    </row>
    <row r="106" ht="16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7"/>
    </row>
    <row r="107" ht="16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7"/>
    </row>
    <row r="108" ht="16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7"/>
    </row>
    <row r="109" ht="16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7"/>
    </row>
    <row r="110" ht="16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7"/>
    </row>
    <row r="111" ht="16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7"/>
    </row>
    <row r="112" ht="16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7"/>
    </row>
    <row r="113" ht="16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7"/>
    </row>
    <row r="114" ht="16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7"/>
    </row>
    <row r="115" ht="16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7"/>
    </row>
    <row r="116" ht="16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7"/>
    </row>
    <row r="117" ht="16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7"/>
    </row>
    <row r="118" ht="16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7"/>
    </row>
    <row r="119" ht="16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7"/>
    </row>
    <row r="120" ht="16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7"/>
    </row>
    <row r="121" ht="16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7"/>
    </row>
    <row r="122" ht="16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7"/>
    </row>
    <row r="123" ht="16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7"/>
    </row>
    <row r="124" ht="16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7"/>
    </row>
    <row r="125" ht="16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7"/>
    </row>
    <row r="126" ht="16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7"/>
    </row>
    <row r="127" ht="16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7"/>
    </row>
    <row r="128" ht="16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7"/>
    </row>
    <row r="129" ht="16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7"/>
    </row>
    <row r="130" ht="16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7"/>
    </row>
    <row r="131" ht="16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7"/>
    </row>
    <row r="132" ht="16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7"/>
    </row>
    <row r="133" ht="16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7"/>
    </row>
    <row r="134" ht="16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7"/>
    </row>
    <row r="135" ht="16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7"/>
    </row>
    <row r="136" ht="16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7"/>
    </row>
    <row r="137" ht="16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7"/>
    </row>
    <row r="138" ht="16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7"/>
    </row>
    <row r="139" ht="16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7"/>
    </row>
    <row r="140" ht="16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7"/>
    </row>
    <row r="141" ht="16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7"/>
    </row>
    <row r="142" ht="16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7"/>
    </row>
    <row r="143" ht="16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7"/>
    </row>
    <row r="144" ht="16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7"/>
    </row>
    <row r="145" ht="16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7"/>
    </row>
    <row r="146" ht="16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7"/>
    </row>
    <row r="147" ht="16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7"/>
    </row>
    <row r="148" ht="16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7"/>
    </row>
    <row r="149" ht="16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7"/>
    </row>
    <row r="150" ht="16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7"/>
    </row>
    <row r="151" ht="16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7"/>
    </row>
    <row r="152" ht="16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7"/>
    </row>
    <row r="153" ht="16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7"/>
    </row>
    <row r="154" ht="16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7"/>
    </row>
    <row r="155" ht="16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7"/>
    </row>
    <row r="156" ht="16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7"/>
    </row>
    <row r="157" ht="16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7"/>
    </row>
    <row r="158" ht="16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7"/>
    </row>
    <row r="159" ht="16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7"/>
    </row>
    <row r="160" ht="16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7"/>
    </row>
    <row r="161" ht="16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7"/>
    </row>
    <row r="162" ht="16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7"/>
    </row>
    <row r="163" ht="16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7"/>
    </row>
    <row r="164" ht="16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7"/>
    </row>
    <row r="165" ht="16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7"/>
    </row>
    <row r="166" ht="16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7"/>
    </row>
    <row r="167" ht="16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7"/>
    </row>
    <row r="168" ht="16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7"/>
    </row>
    <row r="169" ht="16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7"/>
    </row>
    <row r="170" ht="16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7"/>
    </row>
    <row r="171" ht="16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7"/>
    </row>
    <row r="172" ht="16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7"/>
    </row>
    <row r="173" ht="16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7"/>
    </row>
    <row r="174" ht="16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7"/>
    </row>
    <row r="175" ht="16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7"/>
    </row>
    <row r="176" ht="16" customHeight="1">
      <c r="A176" s="160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2"/>
    </row>
  </sheetData>
  <mergeCells count="3">
    <mergeCell ref="C5:G5"/>
    <mergeCell ref="I5:L5"/>
    <mergeCell ref="O5:Q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D224"/>
  <sheetViews>
    <sheetView workbookViewId="0" showGridLines="0" defaultGridColor="1"/>
  </sheetViews>
  <sheetFormatPr defaultColWidth="8.83333" defaultRowHeight="14.25" customHeight="1" outlineLevelRow="0" outlineLevelCol="0"/>
  <cols>
    <col min="1" max="1" width="9.17188" style="163" customWidth="1"/>
    <col min="2" max="2" width="3" style="163" customWidth="1"/>
    <col min="3" max="3" width="24.1719" style="163" customWidth="1"/>
    <col min="4" max="4" width="13.5" style="163" customWidth="1"/>
    <col min="5" max="5" width="12.6719" style="163" customWidth="1"/>
    <col min="6" max="6" width="13.3516" style="163" customWidth="1"/>
    <col min="7" max="7" width="12.5" style="163" customWidth="1"/>
    <col min="8" max="8" width="13" style="163" customWidth="1"/>
    <col min="9" max="9" width="15.5" style="163" customWidth="1"/>
    <col min="10" max="10" width="11.5" style="163" customWidth="1"/>
    <col min="11" max="11" width="11.8516" style="163" customWidth="1"/>
    <col min="12" max="14" width="12.6719" style="163" customWidth="1"/>
    <col min="15" max="15" width="11.5" style="163" customWidth="1"/>
    <col min="16" max="16" width="14.3516" style="163" customWidth="1"/>
    <col min="17" max="17" width="8.67188" style="163" customWidth="1"/>
    <col min="18" max="18" width="12.6719" style="163" customWidth="1"/>
    <col min="19" max="19" width="9.17188" style="163" customWidth="1"/>
    <col min="20" max="20" width="8.5" style="163" customWidth="1"/>
    <col min="21" max="21" width="4.35156" style="163" customWidth="1"/>
    <col min="22" max="22" width="23" style="163" customWidth="1"/>
    <col min="23" max="28" width="14.8516" style="163" customWidth="1"/>
    <col min="29" max="52" width="14.3516" style="163" customWidth="1"/>
    <col min="53" max="56" width="9.17188" style="163" customWidth="1"/>
    <col min="57" max="16384" width="8.85156" style="163" customWidth="1"/>
  </cols>
  <sheetData>
    <row r="1" ht="16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164"/>
      <c r="M1" s="165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11"/>
    </row>
    <row r="2" ht="16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66"/>
      <c r="M2" s="167"/>
      <c r="N2" s="13"/>
      <c r="O2" s="13"/>
      <c r="P2" s="13"/>
      <c r="Q2" s="13"/>
      <c r="R2" s="13"/>
      <c r="S2" s="13"/>
      <c r="T2" s="13"/>
      <c r="U2" s="13"/>
      <c r="V2" s="13"/>
      <c r="W2" s="168">
        <v>1</v>
      </c>
      <c r="X2" s="168" cm="1">
        <f t="array" ref="X2">W2+1</f>
        <v>2</v>
      </c>
      <c r="Y2" s="168" cm="1">
        <f t="array" ref="Y2">X2+1</f>
        <v>3</v>
      </c>
      <c r="Z2" s="168" cm="1">
        <f t="array" ref="Z2">Y2+1</f>
        <v>4</v>
      </c>
      <c r="AA2" s="168" cm="1">
        <f t="array" ref="AA2">Z2+1</f>
        <v>5</v>
      </c>
      <c r="AB2" s="168" cm="1">
        <f t="array" ref="AB2">AA2+1</f>
        <v>6</v>
      </c>
      <c r="AC2" s="168" cm="1">
        <f t="array" ref="AC2">AB2+1</f>
        <v>7</v>
      </c>
      <c r="AD2" s="168" cm="1">
        <f t="array" ref="AD2">AC2+1</f>
        <v>8</v>
      </c>
      <c r="AE2" s="168" cm="1">
        <f t="array" ref="AE2">AD2+1</f>
        <v>9</v>
      </c>
      <c r="AF2" s="168" cm="1">
        <f t="array" ref="AF2">AE2+1</f>
        <v>10</v>
      </c>
      <c r="AG2" s="168" cm="1">
        <f t="array" ref="AG2">AF2+1</f>
        <v>11</v>
      </c>
      <c r="AH2" s="168" cm="1">
        <f t="array" ref="AH2">AG2+1</f>
        <v>12</v>
      </c>
      <c r="AI2" s="168" cm="1">
        <f t="array" ref="AI2">AH2+1</f>
        <v>13</v>
      </c>
      <c r="AJ2" s="168" cm="1">
        <f t="array" ref="AJ2">AI2+1</f>
        <v>14</v>
      </c>
      <c r="AK2" s="168" cm="1">
        <f t="array" ref="AK2">AJ2+1</f>
        <v>15</v>
      </c>
      <c r="AL2" s="168" cm="1">
        <f t="array" ref="AL2">AK2+1</f>
        <v>16</v>
      </c>
      <c r="AM2" s="168" cm="1">
        <f t="array" ref="AM2">AL2+1</f>
        <v>17</v>
      </c>
      <c r="AN2" s="168" cm="1">
        <f t="array" ref="AN2">AM2+1</f>
        <v>18</v>
      </c>
      <c r="AO2" s="168" cm="1">
        <f t="array" ref="AO2">AN2+1</f>
        <v>19</v>
      </c>
      <c r="AP2" s="168" cm="1">
        <f t="array" ref="AP2">AO2+1</f>
        <v>20</v>
      </c>
      <c r="AQ2" s="168" cm="1">
        <f t="array" ref="AQ2">AP2+1</f>
        <v>21</v>
      </c>
      <c r="AR2" s="168" cm="1">
        <f t="array" ref="AR2">AQ2+1</f>
        <v>22</v>
      </c>
      <c r="AS2" s="168" cm="1">
        <f t="array" ref="AS2">AR2+1</f>
        <v>23</v>
      </c>
      <c r="AT2" s="168" cm="1">
        <f t="array" ref="AT2">AS2+1</f>
        <v>24</v>
      </c>
      <c r="AU2" s="168" cm="1">
        <f t="array" ref="AU2">AT2+1</f>
        <v>25</v>
      </c>
      <c r="AV2" s="168" cm="1">
        <f t="array" ref="AV2">AU2+1</f>
        <v>26</v>
      </c>
      <c r="AW2" s="168" cm="1">
        <f t="array" ref="AW2">AV2+1</f>
        <v>27</v>
      </c>
      <c r="AX2" s="168" cm="1">
        <f t="array" ref="AX2">AW2+1</f>
        <v>28</v>
      </c>
      <c r="AY2" s="168" cm="1">
        <f t="array" ref="AY2">AX2+1</f>
        <v>29</v>
      </c>
      <c r="AZ2" s="168" cm="1">
        <f t="array" ref="AZ2">AY2+1</f>
        <v>30</v>
      </c>
      <c r="BA2" s="13"/>
      <c r="BB2" s="13"/>
      <c r="BC2" s="13"/>
      <c r="BD2" s="17"/>
    </row>
    <row r="3" ht="16" customHeight="1">
      <c r="A3" s="12"/>
      <c r="B3" s="169"/>
      <c r="C3" t="s" s="170">
        <v>105</v>
      </c>
      <c r="D3" s="171"/>
      <c r="E3" s="171"/>
      <c r="F3" s="171"/>
      <c r="G3" s="171"/>
      <c r="H3" s="171"/>
      <c r="I3" s="171"/>
      <c r="J3" s="171"/>
      <c r="K3" s="171"/>
      <c r="L3" s="171"/>
      <c r="M3" s="172"/>
      <c r="N3" s="172"/>
      <c r="O3" s="172"/>
      <c r="P3" s="172"/>
      <c r="Q3" s="172"/>
      <c r="R3" s="172"/>
      <c r="S3" s="172"/>
      <c r="T3" s="172"/>
      <c r="U3" s="172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7"/>
    </row>
    <row r="4" ht="15.75" customHeight="1">
      <c r="A4" s="12"/>
      <c r="B4" s="13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/>
      <c r="W4" s="174" cm="1">
        <f t="array" ref="W4">WEEKDAY(W5)</f>
        <v>4</v>
      </c>
      <c r="X4" s="174" cm="1">
        <f t="array" ref="X4">WEEKDAY(X5)</f>
        <v>5</v>
      </c>
      <c r="Y4" s="174" cm="1">
        <f t="array" ref="Y4">WEEKDAY(Y5)</f>
        <v>6</v>
      </c>
      <c r="Z4" s="174" cm="1">
        <f t="array" ref="Z4">WEEKDAY(Z5)</f>
        <v>7</v>
      </c>
      <c r="AA4" s="174" cm="1">
        <f t="array" ref="AA4">WEEKDAY(AA5)</f>
        <v>1</v>
      </c>
      <c r="AB4" s="174" cm="1">
        <f t="array" ref="AB4">WEEKDAY(AB5)</f>
        <v>2</v>
      </c>
      <c r="AC4" s="174" cm="1">
        <f t="array" ref="AC4">WEEKDAY(AC5)</f>
        <v>3</v>
      </c>
      <c r="AD4" s="174" cm="1">
        <f t="array" ref="AD4">WEEKDAY(AD5)</f>
        <v>4</v>
      </c>
      <c r="AE4" s="174" cm="1">
        <f t="array" ref="AE4">WEEKDAY(AE5)</f>
        <v>5</v>
      </c>
      <c r="AF4" s="174" cm="1">
        <f t="array" ref="AF4">WEEKDAY(AF5)</f>
        <v>6</v>
      </c>
      <c r="AG4" s="174" cm="1">
        <f t="array" ref="AG4">WEEKDAY(AG5)</f>
        <v>7</v>
      </c>
      <c r="AH4" s="174" cm="1">
        <f t="array" ref="AH4">WEEKDAY(AH5)</f>
        <v>1</v>
      </c>
      <c r="AI4" s="174" cm="1">
        <f t="array" ref="AI4">WEEKDAY(AI5)</f>
        <v>2</v>
      </c>
      <c r="AJ4" s="174" cm="1">
        <f t="array" ref="AJ4">WEEKDAY(AJ5)</f>
        <v>3</v>
      </c>
      <c r="AK4" s="174" cm="1">
        <f t="array" ref="AK4">WEEKDAY(AK5)</f>
        <v>4</v>
      </c>
      <c r="AL4" s="174" cm="1">
        <f t="array" ref="AL4">WEEKDAY(AL5)</f>
        <v>5</v>
      </c>
      <c r="AM4" s="174" cm="1">
        <f t="array" ref="AM4">WEEKDAY(AM5)</f>
        <v>6</v>
      </c>
      <c r="AN4" s="174" cm="1">
        <f t="array" ref="AN4">WEEKDAY(AN5)</f>
        <v>7</v>
      </c>
      <c r="AO4" s="174" cm="1">
        <f t="array" ref="AO4">WEEKDAY(AO5)</f>
        <v>1</v>
      </c>
      <c r="AP4" s="174" cm="1">
        <f t="array" ref="AP4">WEEKDAY(AP5)</f>
        <v>2</v>
      </c>
      <c r="AQ4" s="174" cm="1">
        <f t="array" ref="AQ4">WEEKDAY(AQ5)</f>
        <v>3</v>
      </c>
      <c r="AR4" s="174" cm="1">
        <f t="array" ref="AR4">WEEKDAY(AR5)</f>
        <v>4</v>
      </c>
      <c r="AS4" s="174" cm="1">
        <f t="array" ref="AS4">WEEKDAY(AS5)</f>
        <v>5</v>
      </c>
      <c r="AT4" s="174" cm="1">
        <f t="array" ref="AT4">WEEKDAY(AT5)</f>
        <v>6</v>
      </c>
      <c r="AU4" s="174" cm="1">
        <f t="array" ref="AU4">WEEKDAY(AU5)</f>
        <v>7</v>
      </c>
      <c r="AV4" s="174" cm="1">
        <f t="array" ref="AV4">WEEKDAY(AV5)</f>
        <v>1</v>
      </c>
      <c r="AW4" s="174" cm="1">
        <f t="array" ref="AW4">WEEKDAY(AW5)</f>
        <v>2</v>
      </c>
      <c r="AX4" s="174" cm="1">
        <f t="array" ref="AX4">WEEKDAY(AX5)</f>
        <v>3</v>
      </c>
      <c r="AY4" s="174" cm="1">
        <f t="array" ref="AY4">WEEKDAY(AY5)</f>
        <v>4</v>
      </c>
      <c r="AZ4" s="174" cm="1">
        <f t="array" ref="AZ4">WEEKDAY(AZ5)</f>
        <v>5</v>
      </c>
      <c r="BA4" s="13"/>
      <c r="BB4" s="13"/>
      <c r="BC4" s="13"/>
      <c r="BD4" s="17"/>
    </row>
    <row r="5" ht="15.75" customHeight="1">
      <c r="A5" s="12"/>
      <c r="B5" s="13"/>
      <c r="C5" t="s" s="175">
        <v>106</v>
      </c>
      <c r="D5" s="176"/>
      <c r="E5" t="s" s="177">
        <v>107</v>
      </c>
      <c r="F5" s="178">
        <v>30</v>
      </c>
      <c r="G5" s="176"/>
      <c r="H5" s="176"/>
      <c r="I5" s="176"/>
      <c r="J5" s="13"/>
      <c r="K5" s="172"/>
      <c r="L5" s="13"/>
      <c r="M5" s="13"/>
      <c r="N5" s="13"/>
      <c r="O5" s="13"/>
      <c r="P5" s="13"/>
      <c r="Q5" s="13"/>
      <c r="R5" s="13"/>
      <c r="S5" s="13"/>
      <c r="T5" s="179"/>
      <c r="U5" s="13"/>
      <c r="V5" s="13"/>
      <c r="W5" s="180">
        <v>46113</v>
      </c>
      <c r="X5" s="181" cm="1">
        <f t="array" ref="X5">W5+1</f>
        <v>46114</v>
      </c>
      <c r="Y5" s="181" cm="1">
        <f t="array" ref="Y5">X5+1</f>
        <v>46115</v>
      </c>
      <c r="Z5" s="181" cm="1">
        <f t="array" ref="Z5">Y5+1</f>
        <v>46116</v>
      </c>
      <c r="AA5" s="181" cm="1">
        <f t="array" ref="AA5">Z5+1</f>
        <v>46117</v>
      </c>
      <c r="AB5" s="181" cm="1">
        <f t="array" ref="AB5">AA5+1</f>
        <v>46118</v>
      </c>
      <c r="AC5" s="181" cm="1">
        <f t="array" ref="AC5">AB5+1</f>
        <v>46119</v>
      </c>
      <c r="AD5" s="181" cm="1">
        <f t="array" ref="AD5">AC5+1</f>
        <v>46120</v>
      </c>
      <c r="AE5" s="181" cm="1">
        <f t="array" ref="AE5">AD5+1</f>
        <v>46121</v>
      </c>
      <c r="AF5" s="181" cm="1">
        <f t="array" ref="AF5">AE5+1</f>
        <v>46122</v>
      </c>
      <c r="AG5" s="181" cm="1">
        <f t="array" ref="AG5">AF5+1</f>
        <v>46123</v>
      </c>
      <c r="AH5" s="181" cm="1">
        <f t="array" ref="AH5">AG5+1</f>
        <v>46124</v>
      </c>
      <c r="AI5" s="181" cm="1">
        <f t="array" ref="AI5">AH5+1</f>
        <v>46125</v>
      </c>
      <c r="AJ5" s="181" cm="1">
        <f t="array" ref="AJ5">AI5+1</f>
        <v>46126</v>
      </c>
      <c r="AK5" s="181" cm="1">
        <f t="array" ref="AK5">AJ5+1</f>
        <v>46127</v>
      </c>
      <c r="AL5" s="181" cm="1">
        <f t="array" ref="AL5">AK5+1</f>
        <v>46128</v>
      </c>
      <c r="AM5" s="181" cm="1">
        <f t="array" ref="AM5">AL5+1</f>
        <v>46129</v>
      </c>
      <c r="AN5" s="181" cm="1">
        <f t="array" ref="AN5">AM5+1</f>
        <v>46130</v>
      </c>
      <c r="AO5" s="181" cm="1">
        <f t="array" ref="AO5">AN5+1</f>
        <v>46131</v>
      </c>
      <c r="AP5" s="181" cm="1">
        <f t="array" ref="AP5">AO5+1</f>
        <v>46132</v>
      </c>
      <c r="AQ5" s="181" cm="1">
        <f t="array" ref="AQ5">AP5+1</f>
        <v>46133</v>
      </c>
      <c r="AR5" s="181" cm="1">
        <f t="array" ref="AR5">AQ5+1</f>
        <v>46134</v>
      </c>
      <c r="AS5" s="181" cm="1">
        <f t="array" ref="AS5">AR5+1</f>
        <v>46135</v>
      </c>
      <c r="AT5" s="181" cm="1">
        <f t="array" ref="AT5">AS5+1</f>
        <v>46136</v>
      </c>
      <c r="AU5" s="181" cm="1">
        <f t="array" ref="AU5">AT5+1</f>
        <v>46137</v>
      </c>
      <c r="AV5" s="181" cm="1">
        <f t="array" ref="AV5">AU5+1</f>
        <v>46138</v>
      </c>
      <c r="AW5" s="181" cm="1">
        <f t="array" ref="AW5">AV5+1</f>
        <v>46139</v>
      </c>
      <c r="AX5" s="181" cm="1">
        <f t="array" ref="AX5">AW5+1</f>
        <v>46140</v>
      </c>
      <c r="AY5" s="181" cm="1">
        <f t="array" ref="AY5">AX5+1</f>
        <v>46141</v>
      </c>
      <c r="AZ5" s="181" cm="1">
        <f t="array" ref="AZ5">AY5+1</f>
        <v>46142</v>
      </c>
      <c r="BA5" s="13"/>
      <c r="BB5" s="13"/>
      <c r="BC5" s="13"/>
      <c r="BD5" s="17"/>
    </row>
    <row r="6" ht="26.2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t="str" s="182" cm="1">
        <f t="array" ref="W6">VLOOKUP(W4,'References'!$C$8:$E$15,3,0)</f>
        <v>Quarta</v>
      </c>
      <c r="X6" t="str" s="182" cm="1">
        <f t="array" ref="X6">VLOOKUP(X4,'References'!$C$8:$E$15,3,0)</f>
        <v>Quinta</v>
      </c>
      <c r="Y6" t="str" s="182" cm="1">
        <f t="array" ref="Y6">VLOOKUP(Y4,'References'!$C$8:$E$15,3,0)</f>
        <v>Sexta</v>
      </c>
      <c r="Z6" t="str" s="182" cm="1">
        <f t="array" ref="Z6">VLOOKUP(Z4,'References'!$C$8:$E$15,3,0)</f>
        <v>Sábado</v>
      </c>
      <c r="AA6" t="str" s="182" cm="1">
        <f t="array" ref="AA6">VLOOKUP(AA4,'References'!$C$8:$E$15,3,0)</f>
        <v>Domingo</v>
      </c>
      <c r="AB6" t="str" s="182" cm="1">
        <f t="array" ref="AB6">VLOOKUP(AB4,'References'!$C$8:$E$15,3,0)</f>
        <v>Segunda</v>
      </c>
      <c r="AC6" t="str" s="182" cm="1">
        <f t="array" ref="AC6">VLOOKUP(AC4,'References'!$C$8:$E$15,3,0)</f>
        <v>Terça</v>
      </c>
      <c r="AD6" t="str" s="182" cm="1">
        <f t="array" ref="AD6">VLOOKUP(AD4,'References'!$C$8:$E$15,3,0)</f>
        <v>Quarta</v>
      </c>
      <c r="AE6" t="str" s="182" cm="1">
        <f t="array" ref="AE6">VLOOKUP(AE4,'References'!$C$8:$E$15,3,0)</f>
        <v>Quinta</v>
      </c>
      <c r="AF6" t="str" s="182" cm="1">
        <f t="array" ref="AF6">VLOOKUP(AF4,'References'!$C$8:$E$15,3,0)</f>
        <v>Sexta</v>
      </c>
      <c r="AG6" t="str" s="182" cm="1">
        <f t="array" ref="AG6">VLOOKUP(AG4,'References'!$C$8:$E$15,3,0)</f>
        <v>Sábado</v>
      </c>
      <c r="AH6" t="str" s="182" cm="1">
        <f t="array" ref="AH6">VLOOKUP(AH4,'References'!$C$8:$E$15,3,0)</f>
        <v>Domingo</v>
      </c>
      <c r="AI6" t="str" s="182" cm="1">
        <f t="array" ref="AI6">VLOOKUP(AI4,'References'!$C$8:$E$15,3,0)</f>
        <v>Segunda</v>
      </c>
      <c r="AJ6" t="str" s="182" cm="1">
        <f t="array" ref="AJ6">VLOOKUP(AJ4,'References'!$C$8:$E$15,3,0)</f>
        <v>Terça</v>
      </c>
      <c r="AK6" t="str" s="182" cm="1">
        <f t="array" ref="AK6">VLOOKUP(AK4,'References'!$C$8:$E$15,3,0)</f>
        <v>Quarta</v>
      </c>
      <c r="AL6" t="str" s="182" cm="1">
        <f t="array" ref="AL6">VLOOKUP(AL4,'References'!$C$8:$E$15,3,0)</f>
        <v>Quinta</v>
      </c>
      <c r="AM6" t="str" s="182" cm="1">
        <f t="array" ref="AM6">VLOOKUP(AM4,'References'!$C$8:$E$15,3,0)</f>
        <v>Sexta</v>
      </c>
      <c r="AN6" t="str" s="182" cm="1">
        <f t="array" ref="AN6">VLOOKUP(AN4,'References'!$C$8:$E$15,3,0)</f>
        <v>Sábado</v>
      </c>
      <c r="AO6" t="str" s="182" cm="1">
        <f t="array" ref="AO6">VLOOKUP(AO4,'References'!$C$8:$E$15,3,0)</f>
        <v>Domingo</v>
      </c>
      <c r="AP6" t="str" s="182" cm="1">
        <f t="array" ref="AP6">VLOOKUP(AP4,'References'!$C$8:$E$15,3,0)</f>
        <v>Segunda</v>
      </c>
      <c r="AQ6" t="str" s="182" cm="1">
        <f t="array" ref="AQ6">VLOOKUP(AQ4,'References'!$C$8:$E$15,3,0)</f>
        <v>Terça</v>
      </c>
      <c r="AR6" t="str" s="182" cm="1">
        <f t="array" ref="AR6">VLOOKUP(AR4,'References'!$C$8:$E$15,3,0)</f>
        <v>Quarta</v>
      </c>
      <c r="AS6" t="str" s="182" cm="1">
        <f t="array" ref="AS6">VLOOKUP(AS4,'References'!$C$8:$E$15,3,0)</f>
        <v>Quinta</v>
      </c>
      <c r="AT6" t="str" s="182" cm="1">
        <f t="array" ref="AT6">VLOOKUP(AT4,'References'!$C$8:$E$15,3,0)</f>
        <v>Sexta</v>
      </c>
      <c r="AU6" t="str" s="182" cm="1">
        <f t="array" ref="AU6">VLOOKUP(AU4,'References'!$C$8:$E$15,3,0)</f>
        <v>Sábado</v>
      </c>
      <c r="AV6" t="str" s="182" cm="1">
        <f t="array" ref="AV6">VLOOKUP(AV4,'References'!$C$8:$E$15,3,0)</f>
        <v>Domingo</v>
      </c>
      <c r="AW6" t="str" s="182" cm="1">
        <f t="array" ref="AW6">VLOOKUP(AW4,'References'!$C$8:$E$15,3,0)</f>
        <v>Segunda</v>
      </c>
      <c r="AX6" t="str" s="182" cm="1">
        <f t="array" ref="AX6">VLOOKUP(AX4,'References'!$C$8:$E$15,3,0)</f>
        <v>Terça</v>
      </c>
      <c r="AY6" t="str" s="182" cm="1">
        <f t="array" ref="AY6">VLOOKUP(AY4,'References'!$C$8:$E$15,3,0)</f>
        <v>Quarta</v>
      </c>
      <c r="AZ6" t="str" s="182" cm="1">
        <f t="array" ref="AZ6">VLOOKUP(AZ4,'References'!$C$8:$E$15,3,0)</f>
        <v>Quinta</v>
      </c>
      <c r="BA6" s="13"/>
      <c r="BB6" s="13"/>
      <c r="BC6" s="13"/>
      <c r="BD6" s="17"/>
    </row>
    <row r="7" ht="19.5" customHeight="1">
      <c r="A7" s="12"/>
      <c r="B7" s="183"/>
      <c r="C7" s="184"/>
      <c r="D7" t="s" s="185">
        <v>115</v>
      </c>
      <c r="E7" t="s" s="185">
        <v>116</v>
      </c>
      <c r="F7" t="s" s="185">
        <v>117</v>
      </c>
      <c r="G7" t="s" s="185">
        <v>118</v>
      </c>
      <c r="H7" t="s" s="185">
        <v>119</v>
      </c>
      <c r="I7" t="s" s="185">
        <v>120</v>
      </c>
      <c r="J7" t="s" s="185">
        <v>120</v>
      </c>
      <c r="K7" t="s" s="185">
        <v>120</v>
      </c>
      <c r="L7" t="s" s="185">
        <v>121</v>
      </c>
      <c r="M7" s="186"/>
      <c r="N7" s="13"/>
      <c r="O7" s="13"/>
      <c r="P7" s="13"/>
      <c r="Q7" s="13"/>
      <c r="R7" s="13"/>
      <c r="S7" s="13"/>
      <c r="T7" s="187"/>
      <c r="U7" s="188"/>
      <c r="V7" t="s" s="170">
        <v>7</v>
      </c>
      <c r="W7" t="str" s="189" cm="1">
        <f t="array" ref="W7">CONCATENATE(W2," - ",W6)</f>
        <v>1 - Quarta</v>
      </c>
      <c r="X7" t="str" s="189" cm="1">
        <f t="array" ref="X7">CONCATENATE(X2," - ",X6)</f>
        <v>2 - Quinta</v>
      </c>
      <c r="Y7" t="str" s="189" cm="1">
        <f t="array" ref="Y7">CONCATENATE(Y2," - ",Y6)</f>
        <v>3 - Sexta</v>
      </c>
      <c r="Z7" t="str" s="189" cm="1">
        <f t="array" ref="Z7">CONCATENATE(Z2," - ",Z6)</f>
        <v>4 - Sábado</v>
      </c>
      <c r="AA7" t="str" s="189" cm="1">
        <f t="array" ref="AA7">CONCATENATE(AA2," - ",AA6)</f>
        <v>5 - Domingo</v>
      </c>
      <c r="AB7" t="str" s="189" cm="1">
        <f t="array" ref="AB7">CONCATENATE(AB2," - ",AB6)</f>
        <v>6 - Segunda</v>
      </c>
      <c r="AC7" t="str" s="189" cm="1">
        <f t="array" ref="AC7">CONCATENATE(AC2," - ",AC6)</f>
        <v>7 - Terça</v>
      </c>
      <c r="AD7" t="str" s="189" cm="1">
        <f t="array" ref="AD7">CONCATENATE(AD2," - ",AD6)</f>
        <v>8 - Quarta</v>
      </c>
      <c r="AE7" t="str" s="189" cm="1">
        <f t="array" ref="AE7">CONCATENATE(AE2," - ",AE6)</f>
        <v>9 - Quinta</v>
      </c>
      <c r="AF7" t="str" s="189" cm="1">
        <f t="array" ref="AF7">CONCATENATE(AF2," - ",AF6)</f>
        <v>10 - Sexta</v>
      </c>
      <c r="AG7" t="str" s="189" cm="1">
        <f t="array" ref="AG7">CONCATENATE(AG2," - ",AG6)</f>
        <v>11 - Sábado</v>
      </c>
      <c r="AH7" t="str" s="189" cm="1">
        <f t="array" ref="AH7">CONCATENATE(AH2," - ",AH6)</f>
        <v>12 - Domingo</v>
      </c>
      <c r="AI7" t="str" s="189" cm="1">
        <f t="array" ref="AI7">CONCATENATE(AI2," - ",AI6)</f>
        <v>13 - Segunda</v>
      </c>
      <c r="AJ7" t="str" s="189" cm="1">
        <f t="array" ref="AJ7">CONCATENATE(AJ2," - ",AJ6)</f>
        <v>14 - Terça</v>
      </c>
      <c r="AK7" t="str" s="189" cm="1">
        <f t="array" ref="AK7">CONCATENATE(AK2," - ",AK6)</f>
        <v>15 - Quarta</v>
      </c>
      <c r="AL7" t="str" s="189" cm="1">
        <f t="array" ref="AL7">CONCATENATE(AL2," - ",AL6)</f>
        <v>16 - Quinta</v>
      </c>
      <c r="AM7" t="str" s="189" cm="1">
        <f t="array" ref="AM7">CONCATENATE(AM2," - ",AM6)</f>
        <v>17 - Sexta</v>
      </c>
      <c r="AN7" t="str" s="189" cm="1">
        <f t="array" ref="AN7">CONCATENATE(AN2," - ",AN6)</f>
        <v>18 - Sábado</v>
      </c>
      <c r="AO7" t="str" s="189" cm="1">
        <f t="array" ref="AO7">CONCATENATE(AO2," - ",AO6)</f>
        <v>19 - Domingo</v>
      </c>
      <c r="AP7" t="str" s="189" cm="1">
        <f t="array" ref="AP7">CONCATENATE(AP2," - ",AP6)</f>
        <v>20 - Segunda</v>
      </c>
      <c r="AQ7" t="str" s="189" cm="1">
        <f t="array" ref="AQ7">CONCATENATE(AQ2," - ",AQ6)</f>
        <v>21 - Terça</v>
      </c>
      <c r="AR7" t="str" s="189" cm="1">
        <f t="array" ref="AR7">CONCATENATE(AR2," - ",AR6)</f>
        <v>22 - Quarta</v>
      </c>
      <c r="AS7" t="str" s="189" cm="1">
        <f t="array" ref="AS7">CONCATENATE(AS2," - ",AS6)</f>
        <v>23 - Quinta</v>
      </c>
      <c r="AT7" t="str" s="189" cm="1">
        <f t="array" ref="AT7">CONCATENATE(AT2," - ",AT6)</f>
        <v>24 - Sexta</v>
      </c>
      <c r="AU7" t="str" s="189" cm="1">
        <f t="array" ref="AU7">CONCATENATE(AU2," - ",AU6)</f>
        <v>25 - Sábado</v>
      </c>
      <c r="AV7" t="str" s="189" cm="1">
        <f t="array" ref="AV7">CONCATENATE(AV2," - ",AV6)</f>
        <v>26 - Domingo</v>
      </c>
      <c r="AW7" t="str" s="189" cm="1">
        <f t="array" ref="AW7">CONCATENATE(AW2," - ",AW6)</f>
        <v>27 - Segunda</v>
      </c>
      <c r="AX7" t="str" s="189" cm="1">
        <f t="array" ref="AX7">CONCATENATE(AX2," - ",AX6)</f>
        <v>28 - Terça</v>
      </c>
      <c r="AY7" t="str" s="189" cm="1">
        <f t="array" ref="AY7">CONCATENATE(AY2," - ",AY6)</f>
        <v>29 - Quarta</v>
      </c>
      <c r="AZ7" t="str" s="189" cm="1">
        <f t="array" ref="AZ7">CONCATENATE(AZ2," - ",AZ6)</f>
        <v>30 - Quinta</v>
      </c>
      <c r="BA7" s="13"/>
      <c r="BB7" s="13"/>
      <c r="BC7" s="13"/>
      <c r="BD7" s="17"/>
    </row>
    <row r="8" ht="19.5" customHeight="1">
      <c r="A8" s="12"/>
      <c r="B8" s="190"/>
      <c r="C8" s="184"/>
      <c r="D8" t="s" s="185">
        <v>152</v>
      </c>
      <c r="E8" s="191">
        <v>46142</v>
      </c>
      <c r="F8" s="191">
        <v>46140</v>
      </c>
      <c r="G8" s="191">
        <v>46140</v>
      </c>
      <c r="H8" s="191">
        <v>46140</v>
      </c>
      <c r="I8" t="s" s="192">
        <v>26</v>
      </c>
      <c r="J8" s="191">
        <v>46140</v>
      </c>
      <c r="K8" t="s" s="192">
        <v>153</v>
      </c>
      <c r="L8" t="s" s="192">
        <v>154</v>
      </c>
      <c r="M8" s="186"/>
      <c r="N8" s="13"/>
      <c r="O8" s="13"/>
      <c r="P8" s="13"/>
      <c r="Q8" s="13"/>
      <c r="R8" s="13"/>
      <c r="S8" s="13"/>
      <c r="T8" s="193"/>
      <c r="U8" s="194">
        <v>1</v>
      </c>
      <c r="V8" t="s" s="195">
        <v>61</v>
      </c>
      <c r="W8" s="196" cm="1">
        <f t="array" ref="W8">SUM(W9:W16)</f>
        <v>46249.24</v>
      </c>
      <c r="X8" s="196" cm="1">
        <f t="array" ref="X8">SUM(X9:X16)</f>
        <v>59336.38</v>
      </c>
      <c r="Y8" s="196" cm="1">
        <f t="array" ref="Y8">SUM(Y9:Y16)</f>
        <v>41431.94</v>
      </c>
      <c r="Z8" s="196" cm="1">
        <f t="array" ref="Z8">SUM(Z9:Z16)</f>
        <v>45542.36</v>
      </c>
      <c r="AA8" s="196" cm="1">
        <f t="array" ref="AA8">SUM(AA9:AA16)</f>
        <v>29935.73</v>
      </c>
      <c r="AB8" s="196" cm="1">
        <f t="array" ref="AB8">SUM(AB9:AB16)</f>
        <v>31504.56</v>
      </c>
      <c r="AC8" s="196" cm="1">
        <f t="array" ref="AC8">SUM(AC9:AC16)</f>
        <v>37869.3</v>
      </c>
      <c r="AD8" s="196" cm="1">
        <f t="array" ref="AD8">SUM(AD9:AD16)</f>
        <v>54374.5</v>
      </c>
      <c r="AE8" s="196" cm="1">
        <f t="array" ref="AE8">SUM(AE9:AE16)</f>
        <v>46112.08</v>
      </c>
      <c r="AF8" s="196" cm="1">
        <f t="array" ref="AF8">SUM(AF9:AF16)</f>
        <v>54206.82</v>
      </c>
      <c r="AG8" s="196" cm="1">
        <f t="array" ref="AG8">SUM(AG9:AG16)</f>
        <v>65495.55</v>
      </c>
      <c r="AH8" s="196" cm="1">
        <f t="array" ref="AH8">SUM(AH9:AH16)</f>
        <v>44154.47</v>
      </c>
      <c r="AI8" s="196" cm="1">
        <f t="array" ref="AI8">SUM(AI9:AI16)</f>
        <v>39057.03</v>
      </c>
      <c r="AJ8" s="196" cm="1">
        <f t="array" ref="AJ8">SUM(AJ9:AJ16)</f>
        <v>32462.55</v>
      </c>
      <c r="AK8" s="196" cm="1">
        <f t="array" ref="AK8">SUM(AK9:AK16)</f>
        <v>47696.15</v>
      </c>
      <c r="AL8" s="196" cm="1">
        <f t="array" ref="AL8">SUM(AL9:AL16)</f>
        <v>47903.18</v>
      </c>
      <c r="AM8" s="196" cm="1">
        <f t="array" ref="AM8">SUM(AM9:AM16)</f>
        <v>51289.56</v>
      </c>
      <c r="AN8" s="196" cm="1">
        <f t="array" ref="AN8">SUM(AN9:AN16)</f>
        <v>59149.02</v>
      </c>
      <c r="AO8" s="196" cm="1">
        <f t="array" ref="AO8">SUM(AO9:AO16)</f>
        <v>54466.35</v>
      </c>
      <c r="AP8" s="196" cm="1">
        <f t="array" ref="AP8">SUM(AP9:AP16)</f>
        <v>51938.74</v>
      </c>
      <c r="AQ8" s="196" cm="1">
        <f t="array" ref="AQ8">SUM(AQ9:AQ16)</f>
        <v>64534.428</v>
      </c>
      <c r="AR8" s="196" cm="1">
        <f t="array" ref="AR8">SUM(AR9:AR16)</f>
        <v>45513.5</v>
      </c>
      <c r="AS8" s="196" cm="1">
        <f t="array" ref="AS8">SUM(AS9:AS16)</f>
        <v>65154.19</v>
      </c>
      <c r="AT8" s="196" cm="1">
        <f t="array" ref="AT8">SUM(AT9:AT16)</f>
        <v>57833.1</v>
      </c>
      <c r="AU8" s="196" cm="1">
        <f t="array" ref="AU8">SUM(AU9:AU16)</f>
        <v>68010.37</v>
      </c>
      <c r="AV8" s="196" cm="1">
        <f t="array" ref="AV8">SUM(AV9:AV16)</f>
        <v>63420.68</v>
      </c>
      <c r="AW8" s="196" cm="1">
        <f t="array" ref="AW8">SUM(AW9:AW16)</f>
        <v>37778.35</v>
      </c>
      <c r="AX8" s="196" cm="1">
        <f t="array" ref="AX8">SUM(AX9:AX16)</f>
        <v>47073.07</v>
      </c>
      <c r="AY8" s="196" cm="1">
        <f t="array" ref="AY8">SUM(AY9:AY16)</f>
        <v>53668.63</v>
      </c>
      <c r="AZ8" s="196" cm="1">
        <f t="array" ref="AZ8">SUM(AZ9:AZ16)</f>
        <v>64093.81</v>
      </c>
      <c r="BA8" s="13"/>
      <c r="BB8" s="13"/>
      <c r="BC8" s="13"/>
      <c r="BD8" s="17"/>
    </row>
    <row r="9" ht="15.75" customHeight="1">
      <c r="A9" s="197"/>
      <c r="B9" s="198">
        <v>1</v>
      </c>
      <c r="C9" t="s" s="199">
        <v>62</v>
      </c>
      <c r="D9" t="s" s="200">
        <v>155</v>
      </c>
      <c r="E9" s="201">
        <v>660000</v>
      </c>
      <c r="F9" s="202" cm="1">
        <f t="array" ref="F9">E9*$F$5/30</f>
        <v>660000</v>
      </c>
      <c r="G9" s="202" cm="1">
        <f t="array" ref="G9">SUM(W9:AZ9)</f>
        <v>621310.6899999999</v>
      </c>
      <c r="H9" s="203" cm="1">
        <f t="array" ref="H9">G9-F9</f>
        <v>-38689.31</v>
      </c>
      <c r="I9" s="202" cm="1">
        <f t="array" ref="I9">F9/$F$5</f>
        <v>22000</v>
      </c>
      <c r="J9" s="203" cm="1">
        <f t="array" ref="J9">G9/$F$5</f>
        <v>20710.3563333333</v>
      </c>
      <c r="K9" s="202" cm="1">
        <f t="array" ref="K9">(E9-H9-F9)/(30-$F$5)</f>
      </c>
      <c r="L9" s="204" cm="1">
        <f t="array" ref="L9">G9/F9</f>
        <v>0.941379833333333</v>
      </c>
      <c r="M9" s="13"/>
      <c r="N9" s="13"/>
      <c r="O9" s="13"/>
      <c r="P9" s="13"/>
      <c r="Q9" s="13"/>
      <c r="R9" s="13"/>
      <c r="S9" s="13"/>
      <c r="T9" s="193"/>
      <c r="U9" s="194" cm="1">
        <f t="array" ref="U9">U8+1</f>
        <v>2</v>
      </c>
      <c r="V9" t="str" s="205" cm="1">
        <f t="array" ref="V9">C9</f>
        <v>Rio Mar Restaurante</v>
      </c>
      <c r="W9" s="206" cm="1">
        <f t="array" ref="W9">24941.76</f>
        <v>24941.76</v>
      </c>
      <c r="X9" s="206">
        <v>22589.04</v>
      </c>
      <c r="Y9" s="206">
        <v>12247.25</v>
      </c>
      <c r="Z9" s="206" cm="1">
        <f t="array" ref="Z9">16542.61</f>
        <v>16542.61</v>
      </c>
      <c r="AA9" s="206">
        <v>10429.57</v>
      </c>
      <c r="AB9" s="206">
        <v>17627.03</v>
      </c>
      <c r="AC9" s="206" cm="1">
        <f t="array" ref="AC9">17414.54</f>
        <v>17414.54</v>
      </c>
      <c r="AD9" s="206">
        <v>20132.27</v>
      </c>
      <c r="AE9" s="206">
        <v>23363.98</v>
      </c>
      <c r="AF9" s="206">
        <v>23120.55</v>
      </c>
      <c r="AG9" s="206">
        <v>27086.8</v>
      </c>
      <c r="AH9" s="206">
        <v>20761.85</v>
      </c>
      <c r="AI9" s="206">
        <v>21339.86</v>
      </c>
      <c r="AJ9" s="206">
        <v>11268.29</v>
      </c>
      <c r="AK9" s="206">
        <v>22148.3</v>
      </c>
      <c r="AL9" s="206">
        <v>22825.09</v>
      </c>
      <c r="AM9" s="206">
        <v>21482.95</v>
      </c>
      <c r="AN9" s="206">
        <v>20951.99</v>
      </c>
      <c r="AO9" s="206">
        <v>18878.68</v>
      </c>
      <c r="AP9" s="206">
        <v>22427.21</v>
      </c>
      <c r="AQ9" s="206">
        <v>20862.75</v>
      </c>
      <c r="AR9" s="206">
        <v>21892.45</v>
      </c>
      <c r="AS9" s="206">
        <v>20354.6</v>
      </c>
      <c r="AT9" s="206" cm="1">
        <f t="array" ref="AT9">25109.32</f>
        <v>25109.32</v>
      </c>
      <c r="AU9" s="206">
        <v>26231.64</v>
      </c>
      <c r="AV9" s="206">
        <v>20828.07</v>
      </c>
      <c r="AW9" s="206">
        <v>15892.58</v>
      </c>
      <c r="AX9" s="206">
        <v>19205.96</v>
      </c>
      <c r="AY9" s="206">
        <v>26236.33</v>
      </c>
      <c r="AZ9" s="206">
        <v>27117.37</v>
      </c>
      <c r="BA9" s="13"/>
      <c r="BB9" s="13"/>
      <c r="BC9" s="13"/>
      <c r="BD9" s="17"/>
    </row>
    <row r="10" ht="15.75" customHeight="1">
      <c r="A10" s="197"/>
      <c r="B10" s="198" cm="1">
        <f t="array" ref="B10">B9+1</f>
        <v>2</v>
      </c>
      <c r="C10" t="s" s="207">
        <v>64</v>
      </c>
      <c r="D10" t="s" s="208">
        <v>157</v>
      </c>
      <c r="E10" s="209">
        <v>240033.9704</v>
      </c>
      <c r="F10" s="210" cm="1">
        <f t="array" ref="F10">E10*$F$5/30</f>
        <v>240033.9704</v>
      </c>
      <c r="G10" s="210" cm="1">
        <f t="array" ref="G10">SUM(W10:AZ10)</f>
        <v>194442.15</v>
      </c>
      <c r="H10" s="211" cm="1">
        <f t="array" ref="H10">G10-F10</f>
        <v>-45591.8204</v>
      </c>
      <c r="I10" s="210" cm="1">
        <f t="array" ref="I10">F10/$F$5</f>
        <v>8001.132346666670</v>
      </c>
      <c r="J10" s="211" cm="1">
        <f t="array" ref="J10">G10/$F$5</f>
        <v>6481.405</v>
      </c>
      <c r="K10" s="210" cm="1">
        <f t="array" ref="K10">(E10-H10-F10)/(30-$F$5)</f>
      </c>
      <c r="L10" s="204" cm="1">
        <f t="array" ref="L10">G10/F10</f>
        <v>0.810060966270631</v>
      </c>
      <c r="M10" s="13"/>
      <c r="N10" s="13"/>
      <c r="O10" s="13"/>
      <c r="P10" s="13"/>
      <c r="Q10" s="13"/>
      <c r="R10" s="13"/>
      <c r="S10" s="13"/>
      <c r="T10" s="193"/>
      <c r="U10" s="194" cm="1">
        <f t="array" ref="U10">U9+1</f>
        <v>3</v>
      </c>
      <c r="V10" t="str" s="205" cm="1">
        <f t="array" ref="V10">C10</f>
        <v>Rio Mar Mercado</v>
      </c>
      <c r="W10" s="206" cm="1">
        <f t="array" ref="W10">1029.09+5706.76</f>
        <v>6735.85</v>
      </c>
      <c r="X10" s="206" cm="1">
        <f t="array" ref="X10">6882.21+1206.07</f>
        <v>8088.28</v>
      </c>
      <c r="Y10" s="206" cm="1">
        <f t="array" ref="Y10">3805.46+900.59</f>
        <v>4706.05</v>
      </c>
      <c r="Z10" s="206" cm="1">
        <f t="array" ref="Z10">989.98+4171.08</f>
        <v>5161.06</v>
      </c>
      <c r="AA10" s="206" cm="1">
        <f t="array" ref="AA10">3183.59+551.83</f>
        <v>3735.42</v>
      </c>
      <c r="AB10" s="206" cm="1">
        <f t="array" ref="AB10">4115.17+210.6</f>
        <v>4325.77</v>
      </c>
      <c r="AC10" s="206" cm="1">
        <f t="array" ref="AC10">3683.12+1707.41</f>
        <v>5390.53</v>
      </c>
      <c r="AD10" s="206" cm="1">
        <f t="array" ref="AD10">4781.84+1203.48</f>
        <v>5985.32</v>
      </c>
      <c r="AE10" s="206" cm="1">
        <f t="array" ref="AE10">5892.23+436.34</f>
        <v>6328.57</v>
      </c>
      <c r="AF10" s="206" cm="1">
        <f t="array" ref="AF10">5284.87+2553.37</f>
        <v>7838.24</v>
      </c>
      <c r="AG10" s="206" cm="1">
        <f t="array" ref="AG10">6084.8+1269.95</f>
        <v>7354.75</v>
      </c>
      <c r="AH10" s="206" cm="1">
        <f t="array" ref="AH10">4007.09+1245.88</f>
        <v>5252.97</v>
      </c>
      <c r="AI10" s="206" cm="1">
        <f t="array" ref="AI10">3737.84+1892.8</f>
        <v>5630.64</v>
      </c>
      <c r="AJ10" s="206" cm="1">
        <f t="array" ref="AJ10">2514.95+532.37</f>
        <v>3047.32</v>
      </c>
      <c r="AK10" s="206" cm="1">
        <f t="array" ref="AK10">6094.38+3364.22</f>
        <v>9458.6</v>
      </c>
      <c r="AL10" s="206" cm="1">
        <f t="array" ref="AL10">5507.39+2772.92</f>
        <v>8280.309999999999</v>
      </c>
      <c r="AM10" s="206" cm="1">
        <f t="array" ref="AM10">6774.88+1829.82</f>
        <v>8604.700000000001</v>
      </c>
      <c r="AN10" s="206" cm="1">
        <f t="array" ref="AN10">7004.61+3219.99</f>
        <v>10224.6</v>
      </c>
      <c r="AO10" s="206" cm="1">
        <f t="array" ref="AO10">4572.04+273.24</f>
        <v>4845.28</v>
      </c>
      <c r="AP10" s="206" cm="1">
        <f t="array" ref="AP10">4457.39+1100.87</f>
        <v>5558.26</v>
      </c>
      <c r="AQ10" s="206" cm="1">
        <f t="array" ref="AQ10">4903.26+532.23</f>
        <v>5435.49</v>
      </c>
      <c r="AR10" s="206" cm="1">
        <f t="array" ref="AR10">3635.23+718.91</f>
        <v>4354.14</v>
      </c>
      <c r="AS10" s="206" cm="1">
        <f t="array" ref="AS10">5600.96+2052.87</f>
        <v>7653.83</v>
      </c>
      <c r="AT10" s="206" cm="1">
        <f t="array" ref="AT10">3972.7+3970.31</f>
        <v>7943.01</v>
      </c>
      <c r="AU10" s="206" cm="1">
        <f t="array" ref="AU10">5451.81+1312.84</f>
        <v>6764.65</v>
      </c>
      <c r="AV10" s="206" cm="1">
        <f t="array" ref="AV10">7629.45+1400.9</f>
        <v>9030.35</v>
      </c>
      <c r="AW10" s="206" cm="1">
        <f t="array" ref="AW10">4640.34+756.33</f>
        <v>5396.67</v>
      </c>
      <c r="AX10" s="206" cm="1">
        <f t="array" ref="AX10">5703.15+988.31</f>
        <v>6691.46</v>
      </c>
      <c r="AY10" s="206" cm="1">
        <f t="array" ref="AY10">5687.46+1862.36</f>
        <v>7549.82</v>
      </c>
      <c r="AZ10" s="206" cm="1">
        <f t="array" ref="AZ10">4929.87+2140.34</f>
        <v>7070.21</v>
      </c>
      <c r="BA10" s="13"/>
      <c r="BB10" s="13"/>
      <c r="BC10" s="13"/>
      <c r="BD10" s="17"/>
    </row>
    <row r="11" ht="15.75" customHeight="1">
      <c r="A11" s="197"/>
      <c r="B11" s="198" cm="1">
        <f t="array" ref="B11">B10+1</f>
        <v>3</v>
      </c>
      <c r="C11" t="s" s="199">
        <v>65</v>
      </c>
      <c r="D11" t="s" s="200">
        <v>159</v>
      </c>
      <c r="E11" s="201">
        <v>300195</v>
      </c>
      <c r="F11" s="202" cm="1">
        <f t="array" ref="F11">E11*$F$5/30</f>
        <v>300195</v>
      </c>
      <c r="G11" s="202" cm="1">
        <f t="array" ref="G11">SUM(W11:AZ11)</f>
        <v>292791.478</v>
      </c>
      <c r="H11" s="203" cm="1">
        <f t="array" ref="H11">G11-F11</f>
        <v>-7403.522</v>
      </c>
      <c r="I11" s="202" cm="1">
        <f t="array" ref="I11">F11/$F$5</f>
        <v>10006.5</v>
      </c>
      <c r="J11" s="203" cm="1">
        <f t="array" ref="J11">G11/$F$5</f>
        <v>9759.715933333329</v>
      </c>
      <c r="K11" s="202" cm="1">
        <f t="array" ref="K11">(E11-H11-F11)/(30-$F$5)</f>
      </c>
      <c r="L11" s="204" cm="1">
        <f t="array" ref="L11">G11/F11</f>
        <v>0.975337623877813</v>
      </c>
      <c r="M11" s="13"/>
      <c r="N11" s="13"/>
      <c r="O11" s="13"/>
      <c r="P11" s="13"/>
      <c r="Q11" s="13"/>
      <c r="R11" s="13"/>
      <c r="S11" s="13"/>
      <c r="T11" s="193"/>
      <c r="U11" s="194" cm="1">
        <f t="array" ref="U11">U10+1</f>
        <v>4</v>
      </c>
      <c r="V11" t="s" s="212">
        <v>65</v>
      </c>
      <c r="W11" s="206">
        <v>5331.94</v>
      </c>
      <c r="X11" s="206">
        <v>11550.55</v>
      </c>
      <c r="Y11" s="206">
        <v>17715.49</v>
      </c>
      <c r="Z11" s="206">
        <v>18550.48</v>
      </c>
      <c r="AA11" s="206">
        <v>9044.41</v>
      </c>
      <c r="AB11" s="206">
        <v>0</v>
      </c>
      <c r="AC11" s="206">
        <v>7140.01</v>
      </c>
      <c r="AD11" s="206">
        <v>3595.22</v>
      </c>
      <c r="AE11" s="206">
        <v>5899.78</v>
      </c>
      <c r="AF11" s="206">
        <v>10569.98</v>
      </c>
      <c r="AG11" s="206">
        <v>16440.48</v>
      </c>
      <c r="AH11" s="206">
        <v>7950.44</v>
      </c>
      <c r="AI11" s="206">
        <v>0</v>
      </c>
      <c r="AJ11" s="206">
        <v>3955.29</v>
      </c>
      <c r="AK11" s="206">
        <v>4132.01</v>
      </c>
      <c r="AL11" s="206">
        <v>5207.45</v>
      </c>
      <c r="AM11" s="206">
        <v>8576.51</v>
      </c>
      <c r="AN11" s="206">
        <v>16063.18</v>
      </c>
      <c r="AO11" s="206">
        <v>19437.95</v>
      </c>
      <c r="AP11" s="206" cm="1">
        <f t="array" ref="AP11">11907.88</f>
        <v>11907.88</v>
      </c>
      <c r="AQ11" s="206">
        <v>23582.198</v>
      </c>
      <c r="AR11" s="206">
        <v>7576.42</v>
      </c>
      <c r="AS11" s="206" cm="1">
        <f t="array" ref="AS11">6699.74</f>
        <v>6699.74</v>
      </c>
      <c r="AT11" s="206">
        <v>11584.51</v>
      </c>
      <c r="AU11" s="206" cm="1">
        <f t="array" ref="AU11">19737.52</f>
        <v>19737.52</v>
      </c>
      <c r="AV11" s="206">
        <v>17809.2</v>
      </c>
      <c r="AW11" s="206">
        <v>0</v>
      </c>
      <c r="AX11" s="206">
        <v>7661.37</v>
      </c>
      <c r="AY11" s="206">
        <v>5845.57</v>
      </c>
      <c r="AZ11" s="206">
        <v>9225.9</v>
      </c>
      <c r="BA11" s="213">
        <v>0</v>
      </c>
      <c r="BB11" s="13"/>
      <c r="BC11" s="13"/>
      <c r="BD11" s="17"/>
    </row>
    <row r="12" ht="15.75" customHeight="1">
      <c r="A12" s="197"/>
      <c r="B12" s="198" cm="1">
        <f t="array" ref="B12">B11+1</f>
        <v>4</v>
      </c>
      <c r="C12" t="s" s="207">
        <v>66</v>
      </c>
      <c r="D12" t="s" s="208">
        <v>160</v>
      </c>
      <c r="E12" s="209">
        <v>157500</v>
      </c>
      <c r="F12" s="210" cm="1">
        <f t="array" ref="F12">E12*$F$5/30</f>
        <v>157500</v>
      </c>
      <c r="G12" s="210" cm="1">
        <f t="array" ref="G12">SUM(W12:AZ12)</f>
        <v>227230.36</v>
      </c>
      <c r="H12" s="214" cm="1">
        <f t="array" ref="H12">G12-F12</f>
        <v>69730.36</v>
      </c>
      <c r="I12" s="210" cm="1">
        <f t="array" ref="I12">F12/$F$5</f>
        <v>5250</v>
      </c>
      <c r="J12" s="211" cm="1">
        <f t="array" ref="J12">G12/$F$5</f>
        <v>7574.345333333330</v>
      </c>
      <c r="K12" s="215" cm="1">
        <f t="array" ref="K12">(E12-H12-F12)/(30-$F$5)</f>
      </c>
      <c r="L12" s="204" cm="1">
        <f t="array" ref="L12">G12/F12</f>
        <v>1.44273244444444</v>
      </c>
      <c r="M12" s="13"/>
      <c r="N12" s="13"/>
      <c r="O12" s="13"/>
      <c r="P12" s="13"/>
      <c r="Q12" s="13"/>
      <c r="R12" s="13"/>
      <c r="S12" s="13"/>
      <c r="T12" s="216"/>
      <c r="U12" s="194" cm="1">
        <f t="array" ref="U12">U11+1</f>
        <v>5</v>
      </c>
      <c r="V12" t="s" s="212">
        <v>66</v>
      </c>
      <c r="W12" s="206">
        <v>2525.51</v>
      </c>
      <c r="X12" s="206">
        <v>11503.37</v>
      </c>
      <c r="Y12" s="206">
        <v>3903.69</v>
      </c>
      <c r="Z12" s="206">
        <v>2800.03</v>
      </c>
      <c r="AA12" s="206">
        <v>4554.73</v>
      </c>
      <c r="AB12" s="206">
        <v>4640.86</v>
      </c>
      <c r="AC12" s="206">
        <v>3759.31</v>
      </c>
      <c r="AD12" s="206">
        <v>17766.1</v>
      </c>
      <c r="AE12" s="206">
        <v>3065.3</v>
      </c>
      <c r="AF12" s="206">
        <v>5618</v>
      </c>
      <c r="AG12" s="206">
        <v>7730.81</v>
      </c>
      <c r="AH12" s="206">
        <v>6963.99</v>
      </c>
      <c r="AI12" s="206" cm="1">
        <f t="array" ref="AI12">8033.34</f>
        <v>8033.34</v>
      </c>
      <c r="AJ12" s="206">
        <v>6564.29</v>
      </c>
      <c r="AK12" s="206">
        <v>5410.48</v>
      </c>
      <c r="AL12" s="206">
        <v>4918.36</v>
      </c>
      <c r="AM12" s="206">
        <v>5821</v>
      </c>
      <c r="AN12" s="206">
        <v>7181.86</v>
      </c>
      <c r="AO12" s="206">
        <v>8118.95</v>
      </c>
      <c r="AP12" s="206">
        <v>6817.44</v>
      </c>
      <c r="AQ12" s="206">
        <v>9921.59</v>
      </c>
      <c r="AR12" s="206">
        <v>6685.67</v>
      </c>
      <c r="AS12" s="206">
        <v>21174.48</v>
      </c>
      <c r="AT12" s="206">
        <v>6893.31</v>
      </c>
      <c r="AU12" s="206">
        <v>8016.41</v>
      </c>
      <c r="AV12" s="206">
        <v>11431.51</v>
      </c>
      <c r="AW12" s="206">
        <v>8865.959999999999</v>
      </c>
      <c r="AX12" s="206">
        <v>6324.6</v>
      </c>
      <c r="AY12" s="206">
        <v>7368.11</v>
      </c>
      <c r="AZ12" s="206">
        <v>12851.3</v>
      </c>
      <c r="BA12" s="13"/>
      <c r="BB12" s="13"/>
      <c r="BC12" s="13"/>
      <c r="BD12" s="17"/>
    </row>
    <row r="13" ht="15.75" customHeight="1">
      <c r="A13" s="197"/>
      <c r="B13" s="198" cm="1">
        <f t="array" ref="B13">B12+1</f>
        <v>5</v>
      </c>
      <c r="C13" t="s" s="199">
        <v>67</v>
      </c>
      <c r="D13" t="s" s="200">
        <v>157</v>
      </c>
      <c r="E13" s="201">
        <v>74999.999249999993</v>
      </c>
      <c r="F13" s="202" cm="1">
        <f t="array" ref="F13">E13*$F$5/30</f>
        <v>74999.999249999993</v>
      </c>
      <c r="G13" s="202" cm="1">
        <f t="array" ref="G13">SUM(W13:AZ13)</f>
        <v>34351.75</v>
      </c>
      <c r="H13" s="203" cm="1">
        <f t="array" ref="H13">G13-F13</f>
        <v>-40648.24925</v>
      </c>
      <c r="I13" s="202" cm="1">
        <f t="array" ref="I13">F13/$F$5</f>
        <v>2499.999975</v>
      </c>
      <c r="J13" s="203" cm="1">
        <f t="array" ref="J13">G13/$F$5</f>
        <v>1145.058333333330</v>
      </c>
      <c r="K13" s="202" cm="1">
        <f t="array" ref="K13">(E13-H13-F13)/(30-$F$5)</f>
      </c>
      <c r="L13" s="204" cm="1">
        <f t="array" ref="L13">G13/F13</f>
        <v>0.458023337913567</v>
      </c>
      <c r="M13" s="13"/>
      <c r="N13" s="13"/>
      <c r="O13" s="13"/>
      <c r="P13" s="13"/>
      <c r="Q13" s="13"/>
      <c r="R13" s="13"/>
      <c r="S13" s="13"/>
      <c r="T13" s="216"/>
      <c r="U13" s="194" cm="1">
        <f t="array" ref="U13">U12+1</f>
        <v>6</v>
      </c>
      <c r="V13" t="s" s="94">
        <v>67</v>
      </c>
      <c r="W13" s="206">
        <v>1106.87</v>
      </c>
      <c r="X13" s="206">
        <v>804.79</v>
      </c>
      <c r="Y13" s="206">
        <v>210.6</v>
      </c>
      <c r="Z13" s="206">
        <v>473.85</v>
      </c>
      <c r="AA13" s="206">
        <v>158.88</v>
      </c>
      <c r="AB13" s="206">
        <v>832.49</v>
      </c>
      <c r="AC13" s="206">
        <v>101.28</v>
      </c>
      <c r="AD13" s="206">
        <v>1342.06</v>
      </c>
      <c r="AE13" s="206">
        <v>1309.44</v>
      </c>
      <c r="AF13" s="206">
        <v>1800.34</v>
      </c>
      <c r="AG13" s="206">
        <v>3089.33</v>
      </c>
      <c r="AH13" s="206">
        <v>568.13</v>
      </c>
      <c r="AI13" s="206">
        <v>1324.74</v>
      </c>
      <c r="AJ13" s="206">
        <v>1231.24</v>
      </c>
      <c r="AK13" s="206">
        <v>1059.68</v>
      </c>
      <c r="AL13" s="206">
        <v>832.4400000000001</v>
      </c>
      <c r="AM13" s="206">
        <v>1556.22</v>
      </c>
      <c r="AN13" s="206">
        <v>1402.02</v>
      </c>
      <c r="AO13" s="206">
        <v>1286.94</v>
      </c>
      <c r="AP13" s="206">
        <v>1501.49</v>
      </c>
      <c r="AQ13" s="206">
        <v>1775.55</v>
      </c>
      <c r="AR13" s="206">
        <v>926.45</v>
      </c>
      <c r="AS13" s="206">
        <v>969.74</v>
      </c>
      <c r="AT13" s="206">
        <v>986.01</v>
      </c>
      <c r="AU13" s="206">
        <v>2160.07</v>
      </c>
      <c r="AV13" s="206">
        <v>1847.37</v>
      </c>
      <c r="AW13" s="206">
        <v>1025.4</v>
      </c>
      <c r="AX13" s="206">
        <v>649.87</v>
      </c>
      <c r="AY13" s="206">
        <v>999.53</v>
      </c>
      <c r="AZ13" s="206">
        <v>1018.93</v>
      </c>
      <c r="BA13" s="13"/>
      <c r="BB13" s="13"/>
      <c r="BC13" s="13"/>
      <c r="BD13" s="17"/>
    </row>
    <row r="14" ht="15.75" customHeight="1">
      <c r="A14" s="197"/>
      <c r="B14" s="198" cm="1">
        <f t="array" ref="B14">B13+1</f>
        <v>6</v>
      </c>
      <c r="C14" t="s" s="207">
        <v>68</v>
      </c>
      <c r="D14" t="s" s="208">
        <v>157</v>
      </c>
      <c r="E14" s="209">
        <v>74999.992499999993</v>
      </c>
      <c r="F14" s="210" cm="1">
        <f t="array" ref="F14">E14*$F$5/30</f>
        <v>74999.992499999993</v>
      </c>
      <c r="G14" s="210" cm="1">
        <f t="array" ref="G14">SUM(W14:AZ14)</f>
        <v>49354.33</v>
      </c>
      <c r="H14" s="211" cm="1">
        <f t="array" ref="H14">G14-F14</f>
        <v>-25645.6625</v>
      </c>
      <c r="I14" s="210" cm="1">
        <f t="array" ref="I14">F14/$F$5</f>
        <v>2499.99975</v>
      </c>
      <c r="J14" s="217" cm="1">
        <f t="array" ref="J14">G14/$F$5</f>
        <v>1645.144333333330</v>
      </c>
      <c r="K14" s="210" cm="1">
        <f t="array" ref="K14">(E14-H14-F14)/(30-$F$5)</f>
      </c>
      <c r="L14" s="204" cm="1">
        <f t="array" ref="L14">G14/F14</f>
        <v>0.658057799139113</v>
      </c>
      <c r="M14" s="13"/>
      <c r="N14" s="13"/>
      <c r="O14" s="13"/>
      <c r="P14" s="13"/>
      <c r="Q14" s="13"/>
      <c r="R14" s="13"/>
      <c r="S14" s="13"/>
      <c r="T14" s="216"/>
      <c r="U14" s="194" cm="1">
        <f t="array" ref="U14">U13+1</f>
        <v>7</v>
      </c>
      <c r="V14" t="s" s="94">
        <v>68</v>
      </c>
      <c r="W14" s="206">
        <v>1033.05</v>
      </c>
      <c r="X14" s="206">
        <v>1786.32</v>
      </c>
      <c r="Y14" s="206">
        <v>1912.9</v>
      </c>
      <c r="Z14" s="206">
        <v>1089.3</v>
      </c>
      <c r="AA14" s="206">
        <v>907.54</v>
      </c>
      <c r="AB14" s="206">
        <v>1860.49</v>
      </c>
      <c r="AC14" s="206">
        <v>1515.56</v>
      </c>
      <c r="AD14" s="206">
        <v>1833.34</v>
      </c>
      <c r="AE14" s="206">
        <v>1951.18</v>
      </c>
      <c r="AF14" s="206">
        <v>1855.16</v>
      </c>
      <c r="AG14" s="206">
        <v>1201.74</v>
      </c>
      <c r="AH14" s="206">
        <v>963.7</v>
      </c>
      <c r="AI14" s="206">
        <v>1600.07</v>
      </c>
      <c r="AJ14" s="206">
        <v>2543</v>
      </c>
      <c r="AK14" s="206">
        <v>1934.18</v>
      </c>
      <c r="AL14" s="206">
        <v>1883.13</v>
      </c>
      <c r="AM14" s="206">
        <v>1884.05</v>
      </c>
      <c r="AN14" s="206">
        <v>1036.65</v>
      </c>
      <c r="AO14" s="206">
        <v>1069.6</v>
      </c>
      <c r="AP14" s="206">
        <v>1103.92</v>
      </c>
      <c r="AQ14" s="206">
        <v>1116.38</v>
      </c>
      <c r="AR14" s="206">
        <v>1273.6</v>
      </c>
      <c r="AS14" s="206">
        <v>1983.07</v>
      </c>
      <c r="AT14" s="206">
        <v>2646.98</v>
      </c>
      <c r="AU14" s="206">
        <v>1158.3</v>
      </c>
      <c r="AV14" s="206">
        <v>1037.47</v>
      </c>
      <c r="AW14" s="206">
        <v>3734.25</v>
      </c>
      <c r="AX14" s="206">
        <v>1790.6</v>
      </c>
      <c r="AY14" s="206">
        <v>1625.74</v>
      </c>
      <c r="AZ14" s="206">
        <v>2023.06</v>
      </c>
      <c r="BA14" s="13"/>
      <c r="BB14" s="13"/>
      <c r="BC14" s="13"/>
      <c r="BD14" s="17"/>
    </row>
    <row r="15" ht="15.75" customHeight="1">
      <c r="A15" s="197"/>
      <c r="B15" s="198" cm="1">
        <f t="array" ref="B15">B14+1</f>
        <v>7</v>
      </c>
      <c r="C15" t="s" s="199">
        <v>69</v>
      </c>
      <c r="D15" t="s" s="200">
        <v>157</v>
      </c>
      <c r="E15" s="201">
        <v>74999.9997</v>
      </c>
      <c r="F15" s="202" cm="1">
        <f t="array" ref="F15">E15*$F$5/30</f>
        <v>74999.9997</v>
      </c>
      <c r="G15" s="202" cm="1">
        <f t="array" ref="G15">SUM(W15:AZ15)</f>
        <v>61945.36</v>
      </c>
      <c r="H15" s="203" cm="1">
        <f t="array" ref="H15">G15-F15</f>
        <v>-13054.6397</v>
      </c>
      <c r="I15" s="202" cm="1">
        <f t="array" ref="I15">F15/$F$5</f>
        <v>2499.99999</v>
      </c>
      <c r="J15" s="218" cm="1">
        <f t="array" ref="J15">G15/$F$5</f>
        <v>2064.845333333330</v>
      </c>
      <c r="K15" s="202" cm="1">
        <f t="array" ref="K15">(E15-H15-F15)/(30-$F$5)</f>
      </c>
      <c r="L15" s="204" cm="1">
        <f t="array" ref="L15">G15/F15</f>
        <v>0.825938136637086</v>
      </c>
      <c r="M15" s="13"/>
      <c r="N15" s="13"/>
      <c r="O15" s="13"/>
      <c r="P15" s="13"/>
      <c r="Q15" s="13"/>
      <c r="R15" s="13"/>
      <c r="S15" s="13"/>
      <c r="T15" s="216"/>
      <c r="U15" s="194" cm="1">
        <f t="array" ref="U15">U14+1</f>
        <v>8</v>
      </c>
      <c r="V15" t="s" s="94">
        <v>69</v>
      </c>
      <c r="W15" s="206">
        <v>2652.62</v>
      </c>
      <c r="X15" s="206">
        <v>1289.92</v>
      </c>
      <c r="Y15" s="206">
        <v>735.96</v>
      </c>
      <c r="Z15" s="206">
        <v>925.03</v>
      </c>
      <c r="AA15" s="206">
        <v>1105.18</v>
      </c>
      <c r="AB15" s="206">
        <v>1971.53</v>
      </c>
      <c r="AC15" s="206">
        <v>2004.19</v>
      </c>
      <c r="AD15" s="206">
        <v>2384.61</v>
      </c>
      <c r="AE15" s="206">
        <v>3321.36</v>
      </c>
      <c r="AF15" s="206">
        <v>2284.76</v>
      </c>
      <c r="AG15" s="206">
        <v>1815.81</v>
      </c>
      <c r="AH15" s="206">
        <v>1693.39</v>
      </c>
      <c r="AI15" s="206">
        <v>1049.64</v>
      </c>
      <c r="AJ15" s="206">
        <v>2815.65</v>
      </c>
      <c r="AK15" s="206">
        <v>2684.94</v>
      </c>
      <c r="AL15" s="206">
        <v>2783.99</v>
      </c>
      <c r="AM15" s="206">
        <v>2001.18</v>
      </c>
      <c r="AN15" s="206">
        <v>1599.2</v>
      </c>
      <c r="AO15" s="206">
        <v>828.95</v>
      </c>
      <c r="AP15" s="206">
        <v>1921.52</v>
      </c>
      <c r="AQ15" s="206">
        <v>1840.47</v>
      </c>
      <c r="AR15" s="206">
        <v>2236.52</v>
      </c>
      <c r="AS15" s="206">
        <v>2788.97</v>
      </c>
      <c r="AT15" s="206">
        <v>1761.79</v>
      </c>
      <c r="AU15" s="206">
        <v>3000.95</v>
      </c>
      <c r="AV15" s="206">
        <v>1436.71</v>
      </c>
      <c r="AW15" s="206">
        <v>2519.29</v>
      </c>
      <c r="AX15" s="206">
        <v>3051.91</v>
      </c>
      <c r="AY15" s="206">
        <v>2938.52</v>
      </c>
      <c r="AZ15" s="206">
        <v>2500.8</v>
      </c>
      <c r="BA15" s="13"/>
      <c r="BB15" s="13"/>
      <c r="BC15" s="13"/>
      <c r="BD15" s="17"/>
    </row>
    <row r="16" ht="15.75" customHeight="1">
      <c r="A16" s="197"/>
      <c r="B16" s="198" cm="1">
        <f t="array" ref="B16">B15+1</f>
        <v>8</v>
      </c>
      <c r="C16" t="s" s="207">
        <v>70</v>
      </c>
      <c r="D16" t="s" s="219">
        <v>161</v>
      </c>
      <c r="E16" s="220">
        <v>59400</v>
      </c>
      <c r="F16" s="221" cm="1">
        <f t="array" ref="F16">E16*$F$5/30</f>
        <v>59400</v>
      </c>
      <c r="G16" s="221" cm="1">
        <f t="array" ref="G16">SUM(W16:AZ16)</f>
        <v>25829.52</v>
      </c>
      <c r="H16" s="222" cm="1">
        <f t="array" ref="H16">G16-F16</f>
        <v>-33570.48</v>
      </c>
      <c r="I16" s="221" cm="1">
        <f t="array" ref="I16">F16/$F$5</f>
        <v>1980</v>
      </c>
      <c r="J16" s="222" cm="1">
        <f t="array" ref="J16">G16/$F$5</f>
        <v>860.984</v>
      </c>
      <c r="K16" s="221" cm="1">
        <f t="array" ref="K16">(E16-H16-F16)/(30-$F$5)</f>
      </c>
      <c r="L16" s="204" cm="1">
        <f t="array" ref="L16">G16/F16</f>
        <v>0.434840404040404</v>
      </c>
      <c r="M16" s="13"/>
      <c r="N16" s="13"/>
      <c r="O16" s="13"/>
      <c r="P16" s="13"/>
      <c r="Q16" s="13"/>
      <c r="R16" s="13"/>
      <c r="S16" s="13"/>
      <c r="T16" s="216"/>
      <c r="U16" s="194" cm="1">
        <f t="array" ref="U16">U15+1</f>
        <v>9</v>
      </c>
      <c r="V16" t="s" s="94">
        <v>70</v>
      </c>
      <c r="W16" s="206">
        <v>1921.64</v>
      </c>
      <c r="X16" s="206">
        <v>1724.11</v>
      </c>
      <c r="Y16" s="206">
        <v>0</v>
      </c>
      <c r="Z16" s="206">
        <v>0</v>
      </c>
      <c r="AA16" s="206">
        <v>0</v>
      </c>
      <c r="AB16" s="206">
        <v>246.39</v>
      </c>
      <c r="AC16" s="206">
        <v>543.88</v>
      </c>
      <c r="AD16" s="206">
        <v>1335.58</v>
      </c>
      <c r="AE16" s="206">
        <v>872.47</v>
      </c>
      <c r="AF16" s="206">
        <v>1119.79</v>
      </c>
      <c r="AG16" s="206">
        <v>775.83</v>
      </c>
      <c r="AH16" s="206">
        <v>0</v>
      </c>
      <c r="AI16" s="206">
        <v>78.73999999999999</v>
      </c>
      <c r="AJ16" s="206">
        <v>1037.47</v>
      </c>
      <c r="AK16" s="206">
        <v>867.96</v>
      </c>
      <c r="AL16" s="206">
        <v>1172.41</v>
      </c>
      <c r="AM16" s="206">
        <v>1362.95</v>
      </c>
      <c r="AN16" s="206">
        <v>689.52</v>
      </c>
      <c r="AO16" s="206">
        <v>0</v>
      </c>
      <c r="AP16" s="206">
        <v>701.02</v>
      </c>
      <c r="AQ16" s="206">
        <v>0</v>
      </c>
      <c r="AR16" s="206">
        <v>568.25</v>
      </c>
      <c r="AS16" s="206">
        <v>3529.76</v>
      </c>
      <c r="AT16" s="206">
        <v>908.17</v>
      </c>
      <c r="AU16" s="206">
        <v>940.83</v>
      </c>
      <c r="AV16" s="206">
        <v>0</v>
      </c>
      <c r="AW16" s="206">
        <v>344.2</v>
      </c>
      <c r="AX16" s="206">
        <v>1697.3</v>
      </c>
      <c r="AY16" s="206">
        <v>1105.01</v>
      </c>
      <c r="AZ16" s="206">
        <v>2286.24</v>
      </c>
      <c r="BA16" s="13"/>
      <c r="BB16" s="13"/>
      <c r="BC16" s="13"/>
      <c r="BD16" s="17"/>
    </row>
    <row r="17" ht="18" customHeight="1">
      <c r="A17" s="12"/>
      <c r="B17" s="223"/>
      <c r="C17" s="13"/>
      <c r="D17" t="s" s="224">
        <v>60</v>
      </c>
      <c r="E17" s="225" cm="1">
        <f t="array" ref="E17">SUM(E9:E16)</f>
        <v>1642128.96185</v>
      </c>
      <c r="F17" s="226" cm="1">
        <f t="array" ref="F17">SUM(F9:F16)</f>
        <v>1642128.96185</v>
      </c>
      <c r="G17" s="226" cm="1">
        <f t="array" ref="G17">SUM(G9:G16)</f>
        <v>1507255.638</v>
      </c>
      <c r="H17" s="227" cm="1">
        <f t="array" ref="H17">SUM(H9:H16)</f>
        <v>-134873.32385</v>
      </c>
      <c r="I17" s="228" cm="1">
        <f t="array" ref="I17">F17/$F$5</f>
        <v>54737.6320616667</v>
      </c>
      <c r="J17" s="228" cm="1">
        <f t="array" ref="J17">G17/$F$5</f>
        <v>50241.8546</v>
      </c>
      <c r="K17" s="229" cm="1">
        <f t="array" ref="K17">(E17-H17-F17)/(30-$F$5)</f>
      </c>
      <c r="L17" s="230" cm="1">
        <f t="array" ref="L17">G17/F17</f>
        <v>0.917866789403645</v>
      </c>
      <c r="M17" s="13"/>
      <c r="N17" s="13"/>
      <c r="O17" s="13"/>
      <c r="P17" s="13"/>
      <c r="Q17" s="13"/>
      <c r="R17" s="13"/>
      <c r="S17" s="13"/>
      <c r="T17" s="13"/>
      <c r="U17" s="101"/>
      <c r="V17" s="13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196"/>
      <c r="AX17" s="196"/>
      <c r="AY17" s="196"/>
      <c r="AZ17" s="196"/>
      <c r="BA17" s="13"/>
      <c r="BB17" s="13"/>
      <c r="BC17" s="13"/>
      <c r="BD17" s="17"/>
    </row>
    <row r="18" ht="15.75" customHeight="1">
      <c r="A18" s="12"/>
      <c r="B18" s="13"/>
      <c r="C18" s="13"/>
      <c r="D18" s="232"/>
      <c r="E18" s="232"/>
      <c r="F18" s="232"/>
      <c r="G18" s="233"/>
      <c r="H18" s="234"/>
      <c r="I18" s="235"/>
      <c r="J18" s="236"/>
      <c r="K18" s="232"/>
      <c r="L18" s="13"/>
      <c r="M18" s="13"/>
      <c r="N18" s="13"/>
      <c r="O18" s="13"/>
      <c r="P18" s="13"/>
      <c r="Q18" s="13"/>
      <c r="R18" s="13"/>
      <c r="S18" s="13"/>
      <c r="T18" s="111"/>
      <c r="U18" s="194">
        <v>1</v>
      </c>
      <c r="V18" t="s" s="237">
        <v>162</v>
      </c>
      <c r="W18" s="196" cm="1">
        <f t="array" ref="W18">SUM(W19:W26)</f>
        <v>54737.6320616667</v>
      </c>
      <c r="X18" s="196" cm="1">
        <f t="array" ref="X18">SUM(X19:X26)</f>
        <v>54737.6320616667</v>
      </c>
      <c r="Y18" s="196" cm="1">
        <f t="array" ref="Y18">SUM(Y19:Y26)</f>
        <v>54737.6320616667</v>
      </c>
      <c r="Z18" s="196" cm="1">
        <f t="array" ref="Z18">SUM(Z19:Z26)</f>
        <v>54737.6320616667</v>
      </c>
      <c r="AA18" s="196" cm="1">
        <f t="array" ref="AA18">SUM(AA19:AA26)</f>
        <v>54737.6320616667</v>
      </c>
      <c r="AB18" s="196" cm="1">
        <f t="array" ref="AB18">SUM(AB19:AB26)</f>
        <v>54737.6320616667</v>
      </c>
      <c r="AC18" s="196" cm="1">
        <f t="array" ref="AC18">SUM(AC19:AC26)</f>
        <v>54737.6320616667</v>
      </c>
      <c r="AD18" s="196" cm="1">
        <f t="array" ref="AD18">SUM(AD19:AD26)</f>
        <v>54737.6320616667</v>
      </c>
      <c r="AE18" s="196" cm="1">
        <f t="array" ref="AE18">SUM(AE19:AE26)</f>
        <v>54737.6320616667</v>
      </c>
      <c r="AF18" s="196" cm="1">
        <f t="array" ref="AF18">SUM(AF19:AF26)</f>
        <v>54737.6320616667</v>
      </c>
      <c r="AG18" s="196" cm="1">
        <f t="array" ref="AG18">SUM(AG19:AG26)</f>
        <v>54737.6320616667</v>
      </c>
      <c r="AH18" s="196" cm="1">
        <f t="array" ref="AH18">SUM(AH19:AH26)</f>
        <v>54737.6320616667</v>
      </c>
      <c r="AI18" s="196" cm="1">
        <f t="array" ref="AI18">SUM(AI19:AI26)</f>
        <v>54737.6320616667</v>
      </c>
      <c r="AJ18" s="196" cm="1">
        <f t="array" ref="AJ18">SUM(AJ19:AJ26)</f>
        <v>54737.6320616667</v>
      </c>
      <c r="AK18" s="196" cm="1">
        <f t="array" ref="AK18">SUM(AK19:AK26)</f>
        <v>54737.6320616667</v>
      </c>
      <c r="AL18" s="196" cm="1">
        <f t="array" ref="AL18">SUM(AL19:AL26)</f>
        <v>54737.6320616667</v>
      </c>
      <c r="AM18" s="196" cm="1">
        <f t="array" ref="AM18">SUM(AM19:AM26)</f>
        <v>54737.6320616667</v>
      </c>
      <c r="AN18" s="196" cm="1">
        <f t="array" ref="AN18">SUM(AN19:AN26)</f>
        <v>54737.6320616667</v>
      </c>
      <c r="AO18" s="196" cm="1">
        <f t="array" ref="AO18">SUM(AO19:AO26)</f>
        <v>54737.6320616667</v>
      </c>
      <c r="AP18" s="196" cm="1">
        <f t="array" ref="AP18">SUM(AP19:AP26)</f>
        <v>54737.6320616667</v>
      </c>
      <c r="AQ18" s="196" cm="1">
        <f t="array" ref="AQ18">SUM(AQ19:AQ26)</f>
        <v>54737.6320616667</v>
      </c>
      <c r="AR18" s="196" cm="1">
        <f t="array" ref="AR18">SUM(AR19:AR26)</f>
        <v>54737.6320616667</v>
      </c>
      <c r="AS18" s="196" cm="1">
        <f t="array" ref="AS18">SUM(AS19:AS26)</f>
        <v>54737.6320616667</v>
      </c>
      <c r="AT18" s="196" cm="1">
        <f t="array" ref="AT18">SUM(AT19:AT26)</f>
        <v>54737.6320616667</v>
      </c>
      <c r="AU18" s="196" cm="1">
        <f t="array" ref="AU18">SUM(AU19:AU26)</f>
        <v>54737.6320616667</v>
      </c>
      <c r="AV18" s="196" cm="1">
        <f t="array" ref="AV18">SUM(AV19:AV26)</f>
        <v>54737.6320616667</v>
      </c>
      <c r="AW18" s="196" cm="1">
        <f t="array" ref="AW18">SUM(AW19:AW26)</f>
        <v>54737.6320616667</v>
      </c>
      <c r="AX18" s="196" cm="1">
        <f t="array" ref="AX18">SUM(AX19:AX26)</f>
        <v>54737.6320616667</v>
      </c>
      <c r="AY18" s="196" cm="1">
        <f t="array" ref="AY18">SUM(AY19:AY26)</f>
        <v>54737.6320616667</v>
      </c>
      <c r="AZ18" s="196" cm="1">
        <f t="array" ref="AZ18">SUM(AZ19:AZ26)</f>
        <v>54737.6320616667</v>
      </c>
      <c r="BA18" s="13"/>
      <c r="BB18" s="13"/>
      <c r="BC18" s="13"/>
      <c r="BD18" s="17"/>
    </row>
    <row r="19" ht="15.75" customHeight="1">
      <c r="A19" s="12"/>
      <c r="B19" s="13"/>
      <c r="C19" t="s" s="175">
        <v>163</v>
      </c>
      <c r="D19" s="13"/>
      <c r="E19" s="13"/>
      <c r="F19" s="13"/>
      <c r="G19" s="111"/>
      <c r="H19" s="186"/>
      <c r="I19" s="12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238"/>
      <c r="U19" s="194" cm="1">
        <f t="array" ref="U19">U18+1</f>
        <v>2</v>
      </c>
      <c r="V19" t="str" s="186" cm="1">
        <f t="array" ref="V19">V9</f>
        <v>Rio Mar Restaurante</v>
      </c>
      <c r="W19" s="231" cm="1">
        <f t="array" ref="W19">I9</f>
        <v>22000</v>
      </c>
      <c r="X19" s="231" cm="1">
        <f t="array" ref="X19">W19</f>
        <v>22000</v>
      </c>
      <c r="Y19" s="231" cm="1">
        <f t="array" ref="Y19">X19</f>
        <v>22000</v>
      </c>
      <c r="Z19" s="231" cm="1">
        <f t="array" ref="Z19">Y19</f>
        <v>22000</v>
      </c>
      <c r="AA19" s="231" cm="1">
        <f t="array" ref="AA19">Z19</f>
        <v>22000</v>
      </c>
      <c r="AB19" s="231" cm="1">
        <f t="array" ref="AB19">AA19</f>
        <v>22000</v>
      </c>
      <c r="AC19" s="231" cm="1">
        <f t="array" ref="AC19">AB19</f>
        <v>22000</v>
      </c>
      <c r="AD19" s="231" cm="1">
        <f t="array" ref="AD19">AC19</f>
        <v>22000</v>
      </c>
      <c r="AE19" s="231" cm="1">
        <f t="array" ref="AE19">AD19</f>
        <v>22000</v>
      </c>
      <c r="AF19" s="231" cm="1">
        <f t="array" ref="AF19">AE19</f>
        <v>22000</v>
      </c>
      <c r="AG19" s="231" cm="1">
        <f t="array" ref="AG19">AF19</f>
        <v>22000</v>
      </c>
      <c r="AH19" s="231" cm="1">
        <f t="array" ref="AH19">AG19</f>
        <v>22000</v>
      </c>
      <c r="AI19" s="231" cm="1">
        <f t="array" ref="AI19">AH19</f>
        <v>22000</v>
      </c>
      <c r="AJ19" s="231" cm="1">
        <f t="array" ref="AJ19">AI19</f>
        <v>22000</v>
      </c>
      <c r="AK19" s="231" cm="1">
        <f t="array" ref="AK19">AJ19</f>
        <v>22000</v>
      </c>
      <c r="AL19" s="231" cm="1">
        <f t="array" ref="AL19">AK19</f>
        <v>22000</v>
      </c>
      <c r="AM19" s="231" cm="1">
        <f t="array" ref="AM19">AL19</f>
        <v>22000</v>
      </c>
      <c r="AN19" s="231" cm="1">
        <f t="array" ref="AN19">AM19</f>
        <v>22000</v>
      </c>
      <c r="AO19" s="231" cm="1">
        <f t="array" ref="AO19">AN19</f>
        <v>22000</v>
      </c>
      <c r="AP19" s="231" cm="1">
        <f t="array" ref="AP19">AO19</f>
        <v>22000</v>
      </c>
      <c r="AQ19" s="231" cm="1">
        <f t="array" ref="AQ19">AP19</f>
        <v>22000</v>
      </c>
      <c r="AR19" s="231" cm="1">
        <f t="array" ref="AR19">AQ19</f>
        <v>22000</v>
      </c>
      <c r="AS19" s="231" cm="1">
        <f t="array" ref="AS19">AR19</f>
        <v>22000</v>
      </c>
      <c r="AT19" s="231" cm="1">
        <f t="array" ref="AT19">AS19</f>
        <v>22000</v>
      </c>
      <c r="AU19" s="231" cm="1">
        <f t="array" ref="AU19">AT19</f>
        <v>22000</v>
      </c>
      <c r="AV19" s="231" cm="1">
        <f t="array" ref="AV19">AU19</f>
        <v>22000</v>
      </c>
      <c r="AW19" s="231" cm="1">
        <f t="array" ref="AW19">AV19</f>
        <v>22000</v>
      </c>
      <c r="AX19" s="231" cm="1">
        <f t="array" ref="AX19">AW19</f>
        <v>22000</v>
      </c>
      <c r="AY19" s="231" cm="1">
        <f t="array" ref="AY19">AX19</f>
        <v>22000</v>
      </c>
      <c r="AZ19" s="231" cm="1">
        <f t="array" ref="AZ19">AY19</f>
        <v>22000</v>
      </c>
      <c r="BA19" s="13"/>
      <c r="BB19" s="13"/>
      <c r="BC19" s="13"/>
      <c r="BD19" s="17"/>
    </row>
    <row r="20" ht="15.75" customHeight="1">
      <c r="A20" s="12"/>
      <c r="B20" s="13"/>
      <c r="C20" s="239"/>
      <c r="D20" s="240"/>
      <c r="E20" s="13"/>
      <c r="F20" s="13"/>
      <c r="G20" s="111"/>
      <c r="H20" s="186"/>
      <c r="I20" s="239"/>
      <c r="J20" s="239"/>
      <c r="K20" s="239"/>
      <c r="L20" s="118"/>
      <c r="M20" s="118"/>
      <c r="N20" s="13"/>
      <c r="O20" s="13"/>
      <c r="P20" s="13"/>
      <c r="Q20" s="13"/>
      <c r="R20" s="13"/>
      <c r="S20" s="13"/>
      <c r="T20" s="111"/>
      <c r="U20" s="194" cm="1">
        <f t="array" ref="U20">U19+1</f>
        <v>3</v>
      </c>
      <c r="V20" t="str" s="186" cm="1">
        <f t="array" ref="V20">V10</f>
        <v>Rio Mar Mercado</v>
      </c>
      <c r="W20" s="231" cm="1">
        <f t="array" ref="W20">I10</f>
        <v>8001.132346666670</v>
      </c>
      <c r="X20" s="231" cm="1">
        <f t="array" ref="X20">W20</f>
        <v>8001.132346666670</v>
      </c>
      <c r="Y20" s="231" cm="1">
        <f t="array" ref="Y20">X20</f>
        <v>8001.132346666670</v>
      </c>
      <c r="Z20" s="231" cm="1">
        <f t="array" ref="Z20">Y20</f>
        <v>8001.132346666670</v>
      </c>
      <c r="AA20" s="231" cm="1">
        <f t="array" ref="AA20">Z20</f>
        <v>8001.132346666670</v>
      </c>
      <c r="AB20" s="231" cm="1">
        <f t="array" ref="AB20">AA20</f>
        <v>8001.132346666670</v>
      </c>
      <c r="AC20" s="231" cm="1">
        <f t="array" ref="AC20">AB20</f>
        <v>8001.132346666670</v>
      </c>
      <c r="AD20" s="231" cm="1">
        <f t="array" ref="AD20">AC20</f>
        <v>8001.132346666670</v>
      </c>
      <c r="AE20" s="231" cm="1">
        <f t="array" ref="AE20">AD20</f>
        <v>8001.132346666670</v>
      </c>
      <c r="AF20" s="231" cm="1">
        <f t="array" ref="AF20">AE20</f>
        <v>8001.132346666670</v>
      </c>
      <c r="AG20" s="231" cm="1">
        <f t="array" ref="AG20">AF20</f>
        <v>8001.132346666670</v>
      </c>
      <c r="AH20" s="231" cm="1">
        <f t="array" ref="AH20">AG20</f>
        <v>8001.132346666670</v>
      </c>
      <c r="AI20" s="231" cm="1">
        <f t="array" ref="AI20">AH20</f>
        <v>8001.132346666670</v>
      </c>
      <c r="AJ20" s="231" cm="1">
        <f t="array" ref="AJ20">AI20</f>
        <v>8001.132346666670</v>
      </c>
      <c r="AK20" s="231" cm="1">
        <f t="array" ref="AK20">AJ20</f>
        <v>8001.132346666670</v>
      </c>
      <c r="AL20" s="231" cm="1">
        <f t="array" ref="AL20">AK20</f>
        <v>8001.132346666670</v>
      </c>
      <c r="AM20" s="231" cm="1">
        <f t="array" ref="AM20">AL20</f>
        <v>8001.132346666670</v>
      </c>
      <c r="AN20" s="231" cm="1">
        <f t="array" ref="AN20">AM20</f>
        <v>8001.132346666670</v>
      </c>
      <c r="AO20" s="231" cm="1">
        <f t="array" ref="AO20">AN20</f>
        <v>8001.132346666670</v>
      </c>
      <c r="AP20" s="231" cm="1">
        <f t="array" ref="AP20">AO20</f>
        <v>8001.132346666670</v>
      </c>
      <c r="AQ20" s="231" cm="1">
        <f t="array" ref="AQ20">AP20</f>
        <v>8001.132346666670</v>
      </c>
      <c r="AR20" s="231" cm="1">
        <f t="array" ref="AR20">AQ20</f>
        <v>8001.132346666670</v>
      </c>
      <c r="AS20" s="231" cm="1">
        <f t="array" ref="AS20">AR20</f>
        <v>8001.132346666670</v>
      </c>
      <c r="AT20" s="231" cm="1">
        <f t="array" ref="AT20">AS20</f>
        <v>8001.132346666670</v>
      </c>
      <c r="AU20" s="231" cm="1">
        <f t="array" ref="AU20">AT20</f>
        <v>8001.132346666670</v>
      </c>
      <c r="AV20" s="231" cm="1">
        <f t="array" ref="AV20">AU20</f>
        <v>8001.132346666670</v>
      </c>
      <c r="AW20" s="231" cm="1">
        <f t="array" ref="AW20">AV20</f>
        <v>8001.132346666670</v>
      </c>
      <c r="AX20" s="231" cm="1">
        <f t="array" ref="AX20">AW20</f>
        <v>8001.132346666670</v>
      </c>
      <c r="AY20" s="231" cm="1">
        <f t="array" ref="AY20">AX20</f>
        <v>8001.132346666670</v>
      </c>
      <c r="AZ20" s="231" cm="1">
        <f t="array" ref="AZ20">AY20</f>
        <v>8001.132346666670</v>
      </c>
      <c r="BA20" s="13"/>
      <c r="BB20" s="13"/>
      <c r="BC20" s="13"/>
      <c r="BD20" s="17"/>
    </row>
    <row r="21" ht="15.75" customHeight="1">
      <c r="A21" s="12"/>
      <c r="B21" s="13"/>
      <c r="C21" s="241"/>
      <c r="D21" t="s" s="185">
        <v>115</v>
      </c>
      <c r="E21" t="s" s="185">
        <v>116</v>
      </c>
      <c r="F21" t="s" s="185">
        <v>117</v>
      </c>
      <c r="G21" t="s" s="185">
        <v>118</v>
      </c>
      <c r="H21" t="s" s="185">
        <v>119</v>
      </c>
      <c r="I21" t="s" s="185">
        <v>120</v>
      </c>
      <c r="J21" t="s" s="185">
        <v>120</v>
      </c>
      <c r="K21" t="s" s="185">
        <v>120</v>
      </c>
      <c r="L21" t="s" s="185">
        <v>121</v>
      </c>
      <c r="M21" s="242"/>
      <c r="N21" s="13"/>
      <c r="O21" s="13"/>
      <c r="P21" s="13"/>
      <c r="Q21" s="13"/>
      <c r="R21" s="13"/>
      <c r="S21" s="13"/>
      <c r="T21" s="111"/>
      <c r="U21" s="194" cm="1">
        <f t="array" ref="U21">U20+1</f>
        <v>4</v>
      </c>
      <c r="V21" t="str" s="186" cm="1">
        <f t="array" ref="V21">V11</f>
        <v>Paiva</v>
      </c>
      <c r="W21" s="231" cm="1">
        <f t="array" ref="W21">I11</f>
        <v>10006.5</v>
      </c>
      <c r="X21" s="231" cm="1">
        <f t="array" ref="X21">W21</f>
        <v>10006.5</v>
      </c>
      <c r="Y21" s="231" cm="1">
        <f t="array" ref="Y21">X21</f>
        <v>10006.5</v>
      </c>
      <c r="Z21" s="231" cm="1">
        <f t="array" ref="Z21">Y21</f>
        <v>10006.5</v>
      </c>
      <c r="AA21" s="231" cm="1">
        <f t="array" ref="AA21">Z21</f>
        <v>10006.5</v>
      </c>
      <c r="AB21" s="231" cm="1">
        <f t="array" ref="AB21">AA21</f>
        <v>10006.5</v>
      </c>
      <c r="AC21" s="231" cm="1">
        <f t="array" ref="AC21">AB21</f>
        <v>10006.5</v>
      </c>
      <c r="AD21" s="231" cm="1">
        <f t="array" ref="AD21">AC21</f>
        <v>10006.5</v>
      </c>
      <c r="AE21" s="231" cm="1">
        <f t="array" ref="AE21">AD21</f>
        <v>10006.5</v>
      </c>
      <c r="AF21" s="231" cm="1">
        <f t="array" ref="AF21">AE21</f>
        <v>10006.5</v>
      </c>
      <c r="AG21" s="231" cm="1">
        <f t="array" ref="AG21">AF21</f>
        <v>10006.5</v>
      </c>
      <c r="AH21" s="231" cm="1">
        <f t="array" ref="AH21">AG21</f>
        <v>10006.5</v>
      </c>
      <c r="AI21" s="231" cm="1">
        <f t="array" ref="AI21">AH21</f>
        <v>10006.5</v>
      </c>
      <c r="AJ21" s="231" cm="1">
        <f t="array" ref="AJ21">AI21</f>
        <v>10006.5</v>
      </c>
      <c r="AK21" s="231" cm="1">
        <f t="array" ref="AK21">AJ21</f>
        <v>10006.5</v>
      </c>
      <c r="AL21" s="231" cm="1">
        <f t="array" ref="AL21">AK21</f>
        <v>10006.5</v>
      </c>
      <c r="AM21" s="231" cm="1">
        <f t="array" ref="AM21">AL21</f>
        <v>10006.5</v>
      </c>
      <c r="AN21" s="231" cm="1">
        <f t="array" ref="AN21">AM21</f>
        <v>10006.5</v>
      </c>
      <c r="AO21" s="231" cm="1">
        <f t="array" ref="AO21">AN21</f>
        <v>10006.5</v>
      </c>
      <c r="AP21" s="231" cm="1">
        <f t="array" ref="AP21">AO21</f>
        <v>10006.5</v>
      </c>
      <c r="AQ21" s="231" cm="1">
        <f t="array" ref="AQ21">AP21</f>
        <v>10006.5</v>
      </c>
      <c r="AR21" s="231" cm="1">
        <f t="array" ref="AR21">AQ21</f>
        <v>10006.5</v>
      </c>
      <c r="AS21" s="231" cm="1">
        <f t="array" ref="AS21">AR21</f>
        <v>10006.5</v>
      </c>
      <c r="AT21" s="231" cm="1">
        <f t="array" ref="AT21">AS21</f>
        <v>10006.5</v>
      </c>
      <c r="AU21" s="231" cm="1">
        <f t="array" ref="AU21">AT21</f>
        <v>10006.5</v>
      </c>
      <c r="AV21" s="231" cm="1">
        <f t="array" ref="AV21">AU21</f>
        <v>10006.5</v>
      </c>
      <c r="AW21" s="231" cm="1">
        <f t="array" ref="AW21">AV21</f>
        <v>10006.5</v>
      </c>
      <c r="AX21" s="231" cm="1">
        <f t="array" ref="AX21">AW21</f>
        <v>10006.5</v>
      </c>
      <c r="AY21" s="231" cm="1">
        <f t="array" ref="AY21">AX21</f>
        <v>10006.5</v>
      </c>
      <c r="AZ21" s="231" cm="1">
        <f t="array" ref="AZ21">AY21</f>
        <v>10006.5</v>
      </c>
      <c r="BA21" s="13"/>
      <c r="BB21" s="13"/>
      <c r="BC21" s="13"/>
      <c r="BD21" s="17"/>
    </row>
    <row r="22" ht="15.75" customHeight="1">
      <c r="A22" s="12"/>
      <c r="B22" s="47"/>
      <c r="C22" s="111"/>
      <c r="D22" t="s" s="185">
        <v>152</v>
      </c>
      <c r="E22" s="191" cm="1">
        <f t="array" ref="E22">E8</f>
        <v>46142</v>
      </c>
      <c r="F22" s="191" cm="1">
        <f t="array" ref="F22">F8</f>
        <v>46140</v>
      </c>
      <c r="G22" s="191" cm="1">
        <f t="array" ref="G22">G8</f>
        <v>46140</v>
      </c>
      <c r="H22" s="191" cm="1">
        <f t="array" ref="H22">H8</f>
        <v>46140</v>
      </c>
      <c r="I22" t="str" s="243" cm="1">
        <f t="array" ref="I22">I8</f>
        <v>Meta</v>
      </c>
      <c r="J22" s="191" cm="1">
        <f t="array" ref="J22">J8</f>
        <v>46140</v>
      </c>
      <c r="K22" t="str" s="243" cm="1">
        <f t="array" ref="K22">K8</f>
        <v>Recalibrada</v>
      </c>
      <c r="L22" t="str" s="243" cm="1">
        <f t="array" ref="L22">L8</f>
        <v>Atingido</v>
      </c>
      <c r="M22" s="242"/>
      <c r="N22" s="13"/>
      <c r="O22" s="13"/>
      <c r="P22" s="13"/>
      <c r="Q22" s="13"/>
      <c r="R22" s="13"/>
      <c r="S22" s="13"/>
      <c r="T22" s="111"/>
      <c r="U22" s="194" cm="1">
        <f t="array" ref="U22">U21+1</f>
        <v>5</v>
      </c>
      <c r="V22" t="str" s="186" cm="1">
        <f t="array" ref="V22">V12</f>
        <v>Delivery</v>
      </c>
      <c r="W22" s="231" cm="1">
        <f t="array" ref="W22">I12</f>
        <v>5250</v>
      </c>
      <c r="X22" s="231" cm="1">
        <f t="array" ref="X22">W22</f>
        <v>5250</v>
      </c>
      <c r="Y22" s="231" cm="1">
        <f t="array" ref="Y22">X22</f>
        <v>5250</v>
      </c>
      <c r="Z22" s="231" cm="1">
        <f t="array" ref="Z22">Y22</f>
        <v>5250</v>
      </c>
      <c r="AA22" s="231" cm="1">
        <f t="array" ref="AA22">Z22</f>
        <v>5250</v>
      </c>
      <c r="AB22" s="231" cm="1">
        <f t="array" ref="AB22">AA22</f>
        <v>5250</v>
      </c>
      <c r="AC22" s="231" cm="1">
        <f t="array" ref="AC22">AB22</f>
        <v>5250</v>
      </c>
      <c r="AD22" s="231" cm="1">
        <f t="array" ref="AD22">AC22</f>
        <v>5250</v>
      </c>
      <c r="AE22" s="231" cm="1">
        <f t="array" ref="AE22">AD22</f>
        <v>5250</v>
      </c>
      <c r="AF22" s="231" cm="1">
        <f t="array" ref="AF22">AE22</f>
        <v>5250</v>
      </c>
      <c r="AG22" s="231" cm="1">
        <f t="array" ref="AG22">AF22</f>
        <v>5250</v>
      </c>
      <c r="AH22" s="231" cm="1">
        <f t="array" ref="AH22">AG22</f>
        <v>5250</v>
      </c>
      <c r="AI22" s="231" cm="1">
        <f t="array" ref="AI22">AH22</f>
        <v>5250</v>
      </c>
      <c r="AJ22" s="231" cm="1">
        <f t="array" ref="AJ22">AI22</f>
        <v>5250</v>
      </c>
      <c r="AK22" s="231" cm="1">
        <f t="array" ref="AK22">AJ22</f>
        <v>5250</v>
      </c>
      <c r="AL22" s="231" cm="1">
        <f t="array" ref="AL22">AK22</f>
        <v>5250</v>
      </c>
      <c r="AM22" s="231" cm="1">
        <f t="array" ref="AM22">AL22</f>
        <v>5250</v>
      </c>
      <c r="AN22" s="231" cm="1">
        <f t="array" ref="AN22">AM22</f>
        <v>5250</v>
      </c>
      <c r="AO22" s="231" cm="1">
        <f t="array" ref="AO22">AN22</f>
        <v>5250</v>
      </c>
      <c r="AP22" s="231" cm="1">
        <f t="array" ref="AP22">AO22</f>
        <v>5250</v>
      </c>
      <c r="AQ22" s="231" cm="1">
        <f t="array" ref="AQ22">AP22</f>
        <v>5250</v>
      </c>
      <c r="AR22" s="231" cm="1">
        <f t="array" ref="AR22">AQ22</f>
        <v>5250</v>
      </c>
      <c r="AS22" s="231" cm="1">
        <f t="array" ref="AS22">AR22</f>
        <v>5250</v>
      </c>
      <c r="AT22" s="231" cm="1">
        <f t="array" ref="AT22">AS22</f>
        <v>5250</v>
      </c>
      <c r="AU22" s="231" cm="1">
        <f t="array" ref="AU22">AT22</f>
        <v>5250</v>
      </c>
      <c r="AV22" s="231" cm="1">
        <f t="array" ref="AV22">AU22</f>
        <v>5250</v>
      </c>
      <c r="AW22" s="231" cm="1">
        <f t="array" ref="AW22">AV22</f>
        <v>5250</v>
      </c>
      <c r="AX22" s="231" cm="1">
        <f t="array" ref="AX22">AW22</f>
        <v>5250</v>
      </c>
      <c r="AY22" s="231" cm="1">
        <f t="array" ref="AY22">AX22</f>
        <v>5250</v>
      </c>
      <c r="AZ22" s="231" cm="1">
        <f t="array" ref="AZ22">AY22</f>
        <v>5250</v>
      </c>
      <c r="BA22" s="13"/>
      <c r="BB22" s="13"/>
      <c r="BC22" s="13"/>
      <c r="BD22" s="17"/>
    </row>
    <row r="23" ht="15.75" customHeight="1">
      <c r="A23" s="197"/>
      <c r="B23" s="198">
        <v>1</v>
      </c>
      <c r="C23" t="s" s="199">
        <v>62</v>
      </c>
      <c r="D23" t="s" s="200">
        <v>155</v>
      </c>
      <c r="E23" s="201">
        <v>6000</v>
      </c>
      <c r="F23" s="202" cm="1">
        <f t="array" ref="F23">E23*$F$5/30</f>
        <v>6000</v>
      </c>
      <c r="G23" s="202">
        <v>5089</v>
      </c>
      <c r="H23" s="203" cm="1">
        <f t="array" ref="H23">G23-F23</f>
        <v>-911</v>
      </c>
      <c r="I23" s="202" cm="1">
        <f t="array" ref="I23">F23/$F$5</f>
        <v>200</v>
      </c>
      <c r="J23" s="203" cm="1">
        <f t="array" ref="J23">G23/$F$5</f>
        <v>169.633333333333</v>
      </c>
      <c r="K23" s="202" cm="1">
        <f t="array" ref="K23">(E23-H23-F23)/(30-$F$5)</f>
      </c>
      <c r="L23" s="204" cm="1">
        <f t="array" ref="L23">G23/F23</f>
        <v>0.848166666666667</v>
      </c>
      <c r="M23" s="118"/>
      <c r="N23" s="13"/>
      <c r="O23" s="13"/>
      <c r="P23" s="13"/>
      <c r="Q23" s="13"/>
      <c r="R23" s="13"/>
      <c r="S23" s="13"/>
      <c r="T23" s="111"/>
      <c r="U23" s="194" cm="1">
        <f t="array" ref="U23">U22+1</f>
        <v>6</v>
      </c>
      <c r="V23" t="str" s="186" cm="1">
        <f t="array" ref="V23">V13</f>
        <v>Cabanga</v>
      </c>
      <c r="W23" s="231" cm="1">
        <f t="array" ref="W23">I13</f>
        <v>2499.999975</v>
      </c>
      <c r="X23" s="231" cm="1">
        <f t="array" ref="X23">W23</f>
        <v>2499.999975</v>
      </c>
      <c r="Y23" s="231" cm="1">
        <f t="array" ref="Y23">X23</f>
        <v>2499.999975</v>
      </c>
      <c r="Z23" s="231" cm="1">
        <f t="array" ref="Z23">Y23</f>
        <v>2499.999975</v>
      </c>
      <c r="AA23" s="231" cm="1">
        <f t="array" ref="AA23">Z23</f>
        <v>2499.999975</v>
      </c>
      <c r="AB23" s="231" cm="1">
        <f t="array" ref="AB23">AA23</f>
        <v>2499.999975</v>
      </c>
      <c r="AC23" s="231" cm="1">
        <f t="array" ref="AC23">AB23</f>
        <v>2499.999975</v>
      </c>
      <c r="AD23" s="231" cm="1">
        <f t="array" ref="AD23">AC23</f>
        <v>2499.999975</v>
      </c>
      <c r="AE23" s="231" cm="1">
        <f t="array" ref="AE23">AD23</f>
        <v>2499.999975</v>
      </c>
      <c r="AF23" s="231" cm="1">
        <f t="array" ref="AF23">AE23</f>
        <v>2499.999975</v>
      </c>
      <c r="AG23" s="231" cm="1">
        <f t="array" ref="AG23">AF23</f>
        <v>2499.999975</v>
      </c>
      <c r="AH23" s="231" cm="1">
        <f t="array" ref="AH23">AG23</f>
        <v>2499.999975</v>
      </c>
      <c r="AI23" s="231" cm="1">
        <f t="array" ref="AI23">AH23</f>
        <v>2499.999975</v>
      </c>
      <c r="AJ23" s="231" cm="1">
        <f t="array" ref="AJ23">AI23</f>
        <v>2499.999975</v>
      </c>
      <c r="AK23" s="231" cm="1">
        <f t="array" ref="AK23">AJ23</f>
        <v>2499.999975</v>
      </c>
      <c r="AL23" s="231" cm="1">
        <f t="array" ref="AL23">AK23</f>
        <v>2499.999975</v>
      </c>
      <c r="AM23" s="231" cm="1">
        <f t="array" ref="AM23">AL23</f>
        <v>2499.999975</v>
      </c>
      <c r="AN23" s="231" cm="1">
        <f t="array" ref="AN23">AM23</f>
        <v>2499.999975</v>
      </c>
      <c r="AO23" s="231" cm="1">
        <f t="array" ref="AO23">AN23</f>
        <v>2499.999975</v>
      </c>
      <c r="AP23" s="231" cm="1">
        <f t="array" ref="AP23">AO23</f>
        <v>2499.999975</v>
      </c>
      <c r="AQ23" s="231" cm="1">
        <f t="array" ref="AQ23">AP23</f>
        <v>2499.999975</v>
      </c>
      <c r="AR23" s="231" cm="1">
        <f t="array" ref="AR23">AQ23</f>
        <v>2499.999975</v>
      </c>
      <c r="AS23" s="231" cm="1">
        <f t="array" ref="AS23">AR23</f>
        <v>2499.999975</v>
      </c>
      <c r="AT23" s="231" cm="1">
        <f t="array" ref="AT23">AS23</f>
        <v>2499.999975</v>
      </c>
      <c r="AU23" s="231" cm="1">
        <f t="array" ref="AU23">AT23</f>
        <v>2499.999975</v>
      </c>
      <c r="AV23" s="231" cm="1">
        <f t="array" ref="AV23">AU23</f>
        <v>2499.999975</v>
      </c>
      <c r="AW23" s="231" cm="1">
        <f t="array" ref="AW23">AV23</f>
        <v>2499.999975</v>
      </c>
      <c r="AX23" s="231" cm="1">
        <f t="array" ref="AX23">AW23</f>
        <v>2499.999975</v>
      </c>
      <c r="AY23" s="231" cm="1">
        <f t="array" ref="AY23">AX23</f>
        <v>2499.999975</v>
      </c>
      <c r="AZ23" s="231" cm="1">
        <f t="array" ref="AZ23">AY23</f>
        <v>2499.999975</v>
      </c>
      <c r="BA23" s="13"/>
      <c r="BB23" s="13"/>
      <c r="BC23" s="13"/>
      <c r="BD23" s="17"/>
    </row>
    <row r="24" ht="15.75" customHeight="1">
      <c r="A24" s="197"/>
      <c r="B24" s="198" cm="1">
        <f t="array" ref="B24">B23+1</f>
        <v>2</v>
      </c>
      <c r="C24" t="s" s="207">
        <v>64</v>
      </c>
      <c r="D24" t="s" s="208">
        <v>157</v>
      </c>
      <c r="E24" s="209">
        <v>3429.05672</v>
      </c>
      <c r="F24" s="210" cm="1">
        <f t="array" ref="F24">E24*$F$5/30</f>
        <v>3429.05672</v>
      </c>
      <c r="G24" s="210" cm="1">
        <f t="array" ref="G24">1775+471</f>
        <v>2246</v>
      </c>
      <c r="H24" s="211" cm="1">
        <f t="array" ref="H24">G24-F24</f>
        <v>-1183.05672</v>
      </c>
      <c r="I24" s="210" cm="1">
        <f t="array" ref="I24">F24/$F$5</f>
        <v>114.301890666667</v>
      </c>
      <c r="J24" s="211" cm="1">
        <f t="array" ref="J24">G24/$F$5</f>
        <v>74.8666666666667</v>
      </c>
      <c r="K24" s="210" cm="1">
        <f t="array" ref="K24">(E24-H24-F24)/(30-$F$5)</f>
      </c>
      <c r="L24" s="204" cm="1">
        <f t="array" ref="L24">G24/F24</f>
        <v>0.654990623777142</v>
      </c>
      <c r="M24" s="118"/>
      <c r="N24" s="13"/>
      <c r="O24" s="13"/>
      <c r="P24" s="13"/>
      <c r="Q24" s="13"/>
      <c r="R24" s="13"/>
      <c r="S24" s="13"/>
      <c r="T24" s="111"/>
      <c r="U24" s="194" cm="1">
        <f t="array" ref="U24">U23+1</f>
        <v>7</v>
      </c>
      <c r="V24" t="str" s="186" cm="1">
        <f t="array" ref="V24">V14</f>
        <v>Velocity</v>
      </c>
      <c r="W24" s="231" cm="1">
        <f t="array" ref="W24">I14</f>
        <v>2499.99975</v>
      </c>
      <c r="X24" s="231" cm="1">
        <f t="array" ref="X24">W24</f>
        <v>2499.99975</v>
      </c>
      <c r="Y24" s="231" cm="1">
        <f t="array" ref="Y24">X24</f>
        <v>2499.99975</v>
      </c>
      <c r="Z24" s="231" cm="1">
        <f t="array" ref="Z24">Y24</f>
        <v>2499.99975</v>
      </c>
      <c r="AA24" s="231" cm="1">
        <f t="array" ref="AA24">Z24</f>
        <v>2499.99975</v>
      </c>
      <c r="AB24" s="231" cm="1">
        <f t="array" ref="AB24">AA24</f>
        <v>2499.99975</v>
      </c>
      <c r="AC24" s="231" cm="1">
        <f t="array" ref="AC24">AB24</f>
        <v>2499.99975</v>
      </c>
      <c r="AD24" s="231" cm="1">
        <f t="array" ref="AD24">AC24</f>
        <v>2499.99975</v>
      </c>
      <c r="AE24" s="231" cm="1">
        <f t="array" ref="AE24">AD24</f>
        <v>2499.99975</v>
      </c>
      <c r="AF24" s="231" cm="1">
        <f t="array" ref="AF24">AE24</f>
        <v>2499.99975</v>
      </c>
      <c r="AG24" s="231" cm="1">
        <f t="array" ref="AG24">AF24</f>
        <v>2499.99975</v>
      </c>
      <c r="AH24" s="231" cm="1">
        <f t="array" ref="AH24">AG24</f>
        <v>2499.99975</v>
      </c>
      <c r="AI24" s="231" cm="1">
        <f t="array" ref="AI24">AH24</f>
        <v>2499.99975</v>
      </c>
      <c r="AJ24" s="231" cm="1">
        <f t="array" ref="AJ24">AI24</f>
        <v>2499.99975</v>
      </c>
      <c r="AK24" s="231" cm="1">
        <f t="array" ref="AK24">AJ24</f>
        <v>2499.99975</v>
      </c>
      <c r="AL24" s="231" cm="1">
        <f t="array" ref="AL24">AK24</f>
        <v>2499.99975</v>
      </c>
      <c r="AM24" s="231" cm="1">
        <f t="array" ref="AM24">AL24</f>
        <v>2499.99975</v>
      </c>
      <c r="AN24" s="231" cm="1">
        <f t="array" ref="AN24">AM24</f>
        <v>2499.99975</v>
      </c>
      <c r="AO24" s="231" cm="1">
        <f t="array" ref="AO24">AN24</f>
        <v>2499.99975</v>
      </c>
      <c r="AP24" s="231" cm="1">
        <f t="array" ref="AP24">AO24</f>
        <v>2499.99975</v>
      </c>
      <c r="AQ24" s="231" cm="1">
        <f t="array" ref="AQ24">AP24</f>
        <v>2499.99975</v>
      </c>
      <c r="AR24" s="231" cm="1">
        <f t="array" ref="AR24">AQ24</f>
        <v>2499.99975</v>
      </c>
      <c r="AS24" s="231" cm="1">
        <f t="array" ref="AS24">AR24</f>
        <v>2499.99975</v>
      </c>
      <c r="AT24" s="231" cm="1">
        <f t="array" ref="AT24">AS24</f>
        <v>2499.99975</v>
      </c>
      <c r="AU24" s="231" cm="1">
        <f t="array" ref="AU24">AT24</f>
        <v>2499.99975</v>
      </c>
      <c r="AV24" s="231" cm="1">
        <f t="array" ref="AV24">AU24</f>
        <v>2499.99975</v>
      </c>
      <c r="AW24" s="231" cm="1">
        <f t="array" ref="AW24">AV24</f>
        <v>2499.99975</v>
      </c>
      <c r="AX24" s="231" cm="1">
        <f t="array" ref="AX24">AW24</f>
        <v>2499.99975</v>
      </c>
      <c r="AY24" s="231" cm="1">
        <f t="array" ref="AY24">AX24</f>
        <v>2499.99975</v>
      </c>
      <c r="AZ24" s="231" cm="1">
        <f t="array" ref="AZ24">AY24</f>
        <v>2499.99975</v>
      </c>
      <c r="BA24" s="13"/>
      <c r="BB24" s="13"/>
      <c r="BC24" s="13"/>
      <c r="BD24" s="17"/>
    </row>
    <row r="25" ht="15.75" customHeight="1">
      <c r="A25" s="197"/>
      <c r="B25" s="198" cm="1">
        <f t="array" ref="B25">B24+1</f>
        <v>3</v>
      </c>
      <c r="C25" t="s" s="199">
        <v>65</v>
      </c>
      <c r="D25" t="s" s="200">
        <v>159</v>
      </c>
      <c r="E25" s="201">
        <v>2144.25</v>
      </c>
      <c r="F25" s="202" cm="1">
        <f t="array" ref="F25">E25*$F$5/30</f>
        <v>2144.25</v>
      </c>
      <c r="G25" s="202">
        <v>1806</v>
      </c>
      <c r="H25" s="203" cm="1">
        <f t="array" ref="H25">G25-F25</f>
        <v>-338.25</v>
      </c>
      <c r="I25" s="202" cm="1">
        <f t="array" ref="I25">F25/$F$5</f>
        <v>71.47499999999999</v>
      </c>
      <c r="J25" s="203" cm="1">
        <f t="array" ref="J25">G25/$F$5</f>
        <v>60.2</v>
      </c>
      <c r="K25" s="202" cm="1">
        <f t="array" ref="K25">(E25-H25-F25)/(30-$F$5)</f>
      </c>
      <c r="L25" s="204" cm="1">
        <f t="array" ref="L25">G25/F25</f>
        <v>0.842252535851696</v>
      </c>
      <c r="M25" s="118"/>
      <c r="N25" s="13"/>
      <c r="O25" s="13"/>
      <c r="P25" s="13"/>
      <c r="Q25" s="13"/>
      <c r="R25" s="13"/>
      <c r="S25" s="13"/>
      <c r="T25" s="111"/>
      <c r="U25" s="194" cm="1">
        <f t="array" ref="U25">U24+1</f>
        <v>8</v>
      </c>
      <c r="V25" t="str" s="186" cm="1">
        <f t="array" ref="V25">V15</f>
        <v>Lagoa Azul</v>
      </c>
      <c r="W25" s="231" cm="1">
        <f t="array" ref="W25">I15</f>
        <v>2499.99999</v>
      </c>
      <c r="X25" s="231" cm="1">
        <f t="array" ref="X25">W25</f>
        <v>2499.99999</v>
      </c>
      <c r="Y25" s="231" cm="1">
        <f t="array" ref="Y25">X25</f>
        <v>2499.99999</v>
      </c>
      <c r="Z25" s="231" cm="1">
        <f t="array" ref="Z25">Y25</f>
        <v>2499.99999</v>
      </c>
      <c r="AA25" s="231" cm="1">
        <f t="array" ref="AA25">Z25</f>
        <v>2499.99999</v>
      </c>
      <c r="AB25" s="231" cm="1">
        <f t="array" ref="AB25">AA25</f>
        <v>2499.99999</v>
      </c>
      <c r="AC25" s="231" cm="1">
        <f t="array" ref="AC25">AB25</f>
        <v>2499.99999</v>
      </c>
      <c r="AD25" s="231" cm="1">
        <f t="array" ref="AD25">AC25</f>
        <v>2499.99999</v>
      </c>
      <c r="AE25" s="231" cm="1">
        <f t="array" ref="AE25">AD25</f>
        <v>2499.99999</v>
      </c>
      <c r="AF25" s="231" cm="1">
        <f t="array" ref="AF25">AE25</f>
        <v>2499.99999</v>
      </c>
      <c r="AG25" s="231" cm="1">
        <f t="array" ref="AG25">AF25</f>
        <v>2499.99999</v>
      </c>
      <c r="AH25" s="231" cm="1">
        <f t="array" ref="AH25">AG25</f>
        <v>2499.99999</v>
      </c>
      <c r="AI25" s="231" cm="1">
        <f t="array" ref="AI25">AH25</f>
        <v>2499.99999</v>
      </c>
      <c r="AJ25" s="231" cm="1">
        <f t="array" ref="AJ25">AI25</f>
        <v>2499.99999</v>
      </c>
      <c r="AK25" s="231" cm="1">
        <f t="array" ref="AK25">AJ25</f>
        <v>2499.99999</v>
      </c>
      <c r="AL25" s="231" cm="1">
        <f t="array" ref="AL25">AK25</f>
        <v>2499.99999</v>
      </c>
      <c r="AM25" s="231" cm="1">
        <f t="array" ref="AM25">AL25</f>
        <v>2499.99999</v>
      </c>
      <c r="AN25" s="231" cm="1">
        <f t="array" ref="AN25">AM25</f>
        <v>2499.99999</v>
      </c>
      <c r="AO25" s="231" cm="1">
        <f t="array" ref="AO25">AN25</f>
        <v>2499.99999</v>
      </c>
      <c r="AP25" s="231" cm="1">
        <f t="array" ref="AP25">AO25</f>
        <v>2499.99999</v>
      </c>
      <c r="AQ25" s="231" cm="1">
        <f t="array" ref="AQ25">AP25</f>
        <v>2499.99999</v>
      </c>
      <c r="AR25" s="231" cm="1">
        <f t="array" ref="AR25">AQ25</f>
        <v>2499.99999</v>
      </c>
      <c r="AS25" s="231" cm="1">
        <f t="array" ref="AS25">AR25</f>
        <v>2499.99999</v>
      </c>
      <c r="AT25" s="231" cm="1">
        <f t="array" ref="AT25">AS25</f>
        <v>2499.99999</v>
      </c>
      <c r="AU25" s="231" cm="1">
        <f t="array" ref="AU25">AT25</f>
        <v>2499.99999</v>
      </c>
      <c r="AV25" s="231" cm="1">
        <f t="array" ref="AV25">AU25</f>
        <v>2499.99999</v>
      </c>
      <c r="AW25" s="231" cm="1">
        <f t="array" ref="AW25">AV25</f>
        <v>2499.99999</v>
      </c>
      <c r="AX25" s="231" cm="1">
        <f t="array" ref="AX25">AW25</f>
        <v>2499.99999</v>
      </c>
      <c r="AY25" s="231" cm="1">
        <f t="array" ref="AY25">AX25</f>
        <v>2499.99999</v>
      </c>
      <c r="AZ25" s="231" cm="1">
        <f t="array" ref="AZ25">AY25</f>
        <v>2499.99999</v>
      </c>
      <c r="BA25" s="13"/>
      <c r="BB25" s="13"/>
      <c r="BC25" s="13"/>
      <c r="BD25" s="17"/>
    </row>
    <row r="26" ht="15.75" customHeight="1">
      <c r="A26" s="197"/>
      <c r="B26" s="198" cm="1">
        <f t="array" ref="B26">B25+1</f>
        <v>4</v>
      </c>
      <c r="C26" t="s" s="207">
        <v>66</v>
      </c>
      <c r="D26" t="s" s="208">
        <v>160</v>
      </c>
      <c r="E26" s="209">
        <v>2250</v>
      </c>
      <c r="F26" s="210" cm="1">
        <f t="array" ref="F26">E26*$F$5/30</f>
        <v>2250</v>
      </c>
      <c r="G26" s="210">
        <v>2124</v>
      </c>
      <c r="H26" s="211" cm="1">
        <f t="array" ref="H26">G26-F26</f>
        <v>-126</v>
      </c>
      <c r="I26" s="210" cm="1">
        <f t="array" ref="I26">F26/$F$5</f>
        <v>75</v>
      </c>
      <c r="J26" s="214" cm="1">
        <f t="array" ref="J26">G26/$F$5</f>
        <v>70.8</v>
      </c>
      <c r="K26" s="210" cm="1">
        <f t="array" ref="K26">(E26-H26-F26)/(30-$F$5)</f>
      </c>
      <c r="L26" s="204" cm="1">
        <f t="array" ref="L26">G26/F26</f>
        <v>0.944</v>
      </c>
      <c r="M26" s="13"/>
      <c r="N26" s="13"/>
      <c r="O26" s="13"/>
      <c r="P26" s="13"/>
      <c r="Q26" s="13"/>
      <c r="R26" s="13"/>
      <c r="S26" s="13"/>
      <c r="T26" s="111"/>
      <c r="U26" s="194" cm="1">
        <f t="array" ref="U26">U25+1</f>
        <v>9</v>
      </c>
      <c r="V26" t="str" s="186" cm="1">
        <f t="array" ref="V26">V16</f>
        <v>Maison</v>
      </c>
      <c r="W26" s="231" cm="1">
        <f t="array" ref="W26">I16</f>
        <v>1980</v>
      </c>
      <c r="X26" s="231" cm="1">
        <f t="array" ref="X26">W26</f>
        <v>1980</v>
      </c>
      <c r="Y26" s="231" cm="1">
        <f t="array" ref="Y26">X26</f>
        <v>1980</v>
      </c>
      <c r="Z26" s="231" cm="1">
        <f t="array" ref="Z26">Y26</f>
        <v>1980</v>
      </c>
      <c r="AA26" s="231" cm="1">
        <f t="array" ref="AA26">Z26</f>
        <v>1980</v>
      </c>
      <c r="AB26" s="231" cm="1">
        <f t="array" ref="AB26">AA26</f>
        <v>1980</v>
      </c>
      <c r="AC26" s="231" cm="1">
        <f t="array" ref="AC26">AB26</f>
        <v>1980</v>
      </c>
      <c r="AD26" s="231" cm="1">
        <f t="array" ref="AD26">AC26</f>
        <v>1980</v>
      </c>
      <c r="AE26" s="231" cm="1">
        <f t="array" ref="AE26">AD26</f>
        <v>1980</v>
      </c>
      <c r="AF26" s="231" cm="1">
        <f t="array" ref="AF26">AE26</f>
        <v>1980</v>
      </c>
      <c r="AG26" s="231" cm="1">
        <f t="array" ref="AG26">AF26</f>
        <v>1980</v>
      </c>
      <c r="AH26" s="231" cm="1">
        <f t="array" ref="AH26">AG26</f>
        <v>1980</v>
      </c>
      <c r="AI26" s="231" cm="1">
        <f t="array" ref="AI26">AH26</f>
        <v>1980</v>
      </c>
      <c r="AJ26" s="231" cm="1">
        <f t="array" ref="AJ26">AI26</f>
        <v>1980</v>
      </c>
      <c r="AK26" s="231" cm="1">
        <f t="array" ref="AK26">AJ26</f>
        <v>1980</v>
      </c>
      <c r="AL26" s="231" cm="1">
        <f t="array" ref="AL26">AK26</f>
        <v>1980</v>
      </c>
      <c r="AM26" s="231" cm="1">
        <f t="array" ref="AM26">AL26</f>
        <v>1980</v>
      </c>
      <c r="AN26" s="231" cm="1">
        <f t="array" ref="AN26">AM26</f>
        <v>1980</v>
      </c>
      <c r="AO26" s="231" cm="1">
        <f t="array" ref="AO26">AN26</f>
        <v>1980</v>
      </c>
      <c r="AP26" s="231" cm="1">
        <f t="array" ref="AP26">AO26</f>
        <v>1980</v>
      </c>
      <c r="AQ26" s="231" cm="1">
        <f t="array" ref="AQ26">AP26</f>
        <v>1980</v>
      </c>
      <c r="AR26" s="231" cm="1">
        <f t="array" ref="AR26">AQ26</f>
        <v>1980</v>
      </c>
      <c r="AS26" s="231" cm="1">
        <f t="array" ref="AS26">AR26</f>
        <v>1980</v>
      </c>
      <c r="AT26" s="231" cm="1">
        <f t="array" ref="AT26">AS26</f>
        <v>1980</v>
      </c>
      <c r="AU26" s="231" cm="1">
        <f t="array" ref="AU26">AT26</f>
        <v>1980</v>
      </c>
      <c r="AV26" s="231" cm="1">
        <f t="array" ref="AV26">AU26</f>
        <v>1980</v>
      </c>
      <c r="AW26" s="231" cm="1">
        <f t="array" ref="AW26">AV26</f>
        <v>1980</v>
      </c>
      <c r="AX26" s="231" cm="1">
        <f t="array" ref="AX26">AW26</f>
        <v>1980</v>
      </c>
      <c r="AY26" s="231" cm="1">
        <f t="array" ref="AY26">AX26</f>
        <v>1980</v>
      </c>
      <c r="AZ26" s="231" cm="1">
        <f t="array" ref="AZ26">AY26</f>
        <v>1980</v>
      </c>
      <c r="BA26" s="13"/>
      <c r="BB26" s="13"/>
      <c r="BC26" s="13"/>
      <c r="BD26" s="17"/>
    </row>
    <row r="27" ht="15.75" customHeight="1">
      <c r="A27" s="197"/>
      <c r="B27" s="198" cm="1">
        <f t="array" ref="B27">B26+1</f>
        <v>5</v>
      </c>
      <c r="C27" t="s" s="199">
        <v>67</v>
      </c>
      <c r="D27" t="s" s="200">
        <v>157</v>
      </c>
      <c r="E27" s="201">
        <v>1499.99985</v>
      </c>
      <c r="F27" s="202" cm="1">
        <f t="array" ref="F27">E27*$F$5/30</f>
        <v>1499.99985</v>
      </c>
      <c r="G27" s="202">
        <v>727</v>
      </c>
      <c r="H27" s="203" cm="1">
        <f t="array" ref="H27">G27-F27</f>
        <v>-772.99985</v>
      </c>
      <c r="I27" s="202" cm="1">
        <f t="array" ref="I27">F27/$F$5</f>
        <v>49.999995</v>
      </c>
      <c r="J27" s="203" cm="1">
        <f t="array" ref="J27">G27/$F$5</f>
        <v>24.2333333333333</v>
      </c>
      <c r="K27" s="202" cm="1">
        <f t="array" ref="K27">(E27-H27-F27)/(30-$F$5)</f>
      </c>
      <c r="L27" s="204" cm="1">
        <f t="array" ref="L27">G27/F27</f>
        <v>0.484666715133338</v>
      </c>
      <c r="M27" s="13"/>
      <c r="N27" s="13"/>
      <c r="O27" s="13"/>
      <c r="P27" s="13"/>
      <c r="Q27" s="13"/>
      <c r="R27" s="13"/>
      <c r="S27" s="13"/>
      <c r="T27" s="13"/>
      <c r="U27" s="101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7"/>
    </row>
    <row r="28" ht="15.75" customHeight="1">
      <c r="A28" s="197"/>
      <c r="B28" s="198" cm="1">
        <f t="array" ref="B28">B27+1</f>
        <v>6</v>
      </c>
      <c r="C28" t="s" s="207">
        <v>68</v>
      </c>
      <c r="D28" t="s" s="208">
        <v>157</v>
      </c>
      <c r="E28" s="209">
        <v>2499.999975</v>
      </c>
      <c r="F28" s="210" cm="1">
        <f t="array" ref="F28">E28*$F$5/30</f>
        <v>2499.999975</v>
      </c>
      <c r="G28" s="210">
        <v>1051</v>
      </c>
      <c r="H28" s="211" cm="1">
        <f t="array" ref="H28">G28-F28</f>
        <v>-1448.999975</v>
      </c>
      <c r="I28" s="210" cm="1">
        <f t="array" ref="I28">F28/$F$5</f>
        <v>83.3333325</v>
      </c>
      <c r="J28" s="217" cm="1">
        <f t="array" ref="J28">G28/$F$5</f>
        <v>35.0333333333333</v>
      </c>
      <c r="K28" s="210" cm="1">
        <f t="array" ref="K28">(E28-H28-F28)/(30-$F$5)</f>
      </c>
      <c r="L28" s="204" cm="1">
        <f t="array" ref="L28">G28/F28</f>
        <v>0.420400004204</v>
      </c>
      <c r="M28" s="13"/>
      <c r="N28" s="13"/>
      <c r="O28" s="13"/>
      <c r="P28" s="13"/>
      <c r="Q28" s="13"/>
      <c r="R28" s="13"/>
      <c r="S28" s="13"/>
      <c r="T28" s="111"/>
      <c r="U28" s="194">
        <v>1</v>
      </c>
      <c r="V28" t="s" s="237">
        <v>169</v>
      </c>
      <c r="W28" s="196" cm="1">
        <f t="array" ref="W28">AVERAGE(W8:AZ8)</f>
        <v>50241.8546</v>
      </c>
      <c r="X28" s="196" cm="1">
        <f t="array" ref="X28">W28</f>
        <v>50241.8546</v>
      </c>
      <c r="Y28" s="196" cm="1">
        <f t="array" ref="Y28">X28</f>
        <v>50241.8546</v>
      </c>
      <c r="Z28" s="196" cm="1">
        <f t="array" ref="Z28">Y28</f>
        <v>50241.8546</v>
      </c>
      <c r="AA28" s="196" cm="1">
        <f t="array" ref="AA28">Z28</f>
        <v>50241.8546</v>
      </c>
      <c r="AB28" s="196" cm="1">
        <f t="array" ref="AB28">AA28</f>
        <v>50241.8546</v>
      </c>
      <c r="AC28" s="196" cm="1">
        <f t="array" ref="AC28">AB28</f>
        <v>50241.8546</v>
      </c>
      <c r="AD28" s="196" cm="1">
        <f t="array" ref="AD28">AC28</f>
        <v>50241.8546</v>
      </c>
      <c r="AE28" s="196" cm="1">
        <f t="array" ref="AE28">AD28</f>
        <v>50241.8546</v>
      </c>
      <c r="AF28" s="196" cm="1">
        <f t="array" ref="AF28">AE28</f>
        <v>50241.8546</v>
      </c>
      <c r="AG28" s="196" cm="1">
        <f t="array" ref="AG28">AF28</f>
        <v>50241.8546</v>
      </c>
      <c r="AH28" s="196" cm="1">
        <f t="array" ref="AH28">AG28</f>
        <v>50241.8546</v>
      </c>
      <c r="AI28" s="196" cm="1">
        <f t="array" ref="AI28">AH28</f>
        <v>50241.8546</v>
      </c>
      <c r="AJ28" s="196" cm="1">
        <f t="array" ref="AJ28">AI28</f>
        <v>50241.8546</v>
      </c>
      <c r="AK28" s="196" cm="1">
        <f t="array" ref="AK28">AJ28</f>
        <v>50241.8546</v>
      </c>
      <c r="AL28" s="196" cm="1">
        <f t="array" ref="AL28">AK28</f>
        <v>50241.8546</v>
      </c>
      <c r="AM28" s="196" cm="1">
        <f t="array" ref="AM28">AL28</f>
        <v>50241.8546</v>
      </c>
      <c r="AN28" s="196" cm="1">
        <f t="array" ref="AN28">AM28</f>
        <v>50241.8546</v>
      </c>
      <c r="AO28" s="196" cm="1">
        <f t="array" ref="AO28">AN28</f>
        <v>50241.8546</v>
      </c>
      <c r="AP28" s="196" cm="1">
        <f t="array" ref="AP28">AO28</f>
        <v>50241.8546</v>
      </c>
      <c r="AQ28" s="196" cm="1">
        <f t="array" ref="AQ28">AP28</f>
        <v>50241.8546</v>
      </c>
      <c r="AR28" s="196" cm="1">
        <f t="array" ref="AR28">AQ28</f>
        <v>50241.8546</v>
      </c>
      <c r="AS28" s="196" cm="1">
        <f t="array" ref="AS28">AR28</f>
        <v>50241.8546</v>
      </c>
      <c r="AT28" s="196" cm="1">
        <f t="array" ref="AT28">AS28</f>
        <v>50241.8546</v>
      </c>
      <c r="AU28" s="196" cm="1">
        <f t="array" ref="AU28">AT28</f>
        <v>50241.8546</v>
      </c>
      <c r="AV28" s="196" cm="1">
        <f t="array" ref="AV28">AU28</f>
        <v>50241.8546</v>
      </c>
      <c r="AW28" s="196" cm="1">
        <f t="array" ref="AW28">AV28</f>
        <v>50241.8546</v>
      </c>
      <c r="AX28" s="196" cm="1">
        <f t="array" ref="AX28">AW28</f>
        <v>50241.8546</v>
      </c>
      <c r="AY28" s="196" cm="1">
        <f t="array" ref="AY28">AX28</f>
        <v>50241.8546</v>
      </c>
      <c r="AZ28" s="196" cm="1">
        <f t="array" ref="AZ28">AY28</f>
        <v>50241.8546</v>
      </c>
      <c r="BA28" s="13"/>
      <c r="BB28" s="13"/>
      <c r="BC28" s="13"/>
      <c r="BD28" s="17"/>
    </row>
    <row r="29" ht="15.75" customHeight="1">
      <c r="A29" s="197"/>
      <c r="B29" s="198" cm="1">
        <f t="array" ref="B29">B28+1</f>
        <v>7</v>
      </c>
      <c r="C29" t="s" s="199">
        <v>69</v>
      </c>
      <c r="D29" t="s" s="200">
        <v>157</v>
      </c>
      <c r="E29" s="201">
        <v>1874.9999925</v>
      </c>
      <c r="F29" s="202" cm="1">
        <f t="array" ref="F29">E29*$F$5/30</f>
        <v>1874.9999925</v>
      </c>
      <c r="G29" s="202">
        <v>2120</v>
      </c>
      <c r="H29" s="244" cm="1">
        <f t="array" ref="H29">G29-F29</f>
        <v>245.0000075</v>
      </c>
      <c r="I29" s="202" cm="1">
        <f t="array" ref="I29">F29/$F$5</f>
        <v>62.49999975</v>
      </c>
      <c r="J29" s="245" cm="1">
        <f t="array" ref="J29">G29/$F$5</f>
        <v>70.6666666666667</v>
      </c>
      <c r="K29" s="244" cm="1">
        <f t="array" ref="K29">(E29-H29-F29)/(30-$F$5)</f>
      </c>
      <c r="L29" s="204" cm="1">
        <f t="array" ref="L29">G29/F29</f>
        <v>1.13066667118933</v>
      </c>
      <c r="M29" s="13"/>
      <c r="N29" s="13"/>
      <c r="O29" s="13"/>
      <c r="P29" s="13"/>
      <c r="Q29" s="13"/>
      <c r="R29" s="13"/>
      <c r="S29" s="13"/>
      <c r="T29" s="111"/>
      <c r="U29" s="194" cm="1">
        <f t="array" ref="U29">U28+1</f>
        <v>2</v>
      </c>
      <c r="V29" t="str" s="186" cm="1">
        <f t="array" ref="V29">V19</f>
        <v>Rio Mar Restaurante</v>
      </c>
      <c r="W29" s="231" cm="1">
        <f t="array" ref="W29">AVERAGE(W9:AZ9)</f>
        <v>20710.3563333333</v>
      </c>
      <c r="X29" s="231" cm="1">
        <f t="array" ref="X29">W29</f>
        <v>20710.3563333333</v>
      </c>
      <c r="Y29" s="231" cm="1">
        <f t="array" ref="Y29">X29</f>
        <v>20710.3563333333</v>
      </c>
      <c r="Z29" s="231" cm="1">
        <f t="array" ref="Z29">Y29</f>
        <v>20710.3563333333</v>
      </c>
      <c r="AA29" s="231" cm="1">
        <f t="array" ref="AA29">Z29</f>
        <v>20710.3563333333</v>
      </c>
      <c r="AB29" s="231" cm="1">
        <f t="array" ref="AB29">AA29</f>
        <v>20710.3563333333</v>
      </c>
      <c r="AC29" s="231" cm="1">
        <f t="array" ref="AC29">AB29</f>
        <v>20710.3563333333</v>
      </c>
      <c r="AD29" s="231" cm="1">
        <f t="array" ref="AD29">AC29</f>
        <v>20710.3563333333</v>
      </c>
      <c r="AE29" s="231" cm="1">
        <f t="array" ref="AE29">AD29</f>
        <v>20710.3563333333</v>
      </c>
      <c r="AF29" s="231" cm="1">
        <f t="array" ref="AF29">AE29</f>
        <v>20710.3563333333</v>
      </c>
      <c r="AG29" s="231" cm="1">
        <f t="array" ref="AG29">AF29</f>
        <v>20710.3563333333</v>
      </c>
      <c r="AH29" s="231" cm="1">
        <f t="array" ref="AH29">AG29</f>
        <v>20710.3563333333</v>
      </c>
      <c r="AI29" s="231" cm="1">
        <f t="array" ref="AI29">AH29</f>
        <v>20710.3563333333</v>
      </c>
      <c r="AJ29" s="231" cm="1">
        <f t="array" ref="AJ29">AI29</f>
        <v>20710.3563333333</v>
      </c>
      <c r="AK29" s="231" cm="1">
        <f t="array" ref="AK29">AJ29</f>
        <v>20710.3563333333</v>
      </c>
      <c r="AL29" s="231" cm="1">
        <f t="array" ref="AL29">AK29</f>
        <v>20710.3563333333</v>
      </c>
      <c r="AM29" s="231" cm="1">
        <f t="array" ref="AM29">AL29</f>
        <v>20710.3563333333</v>
      </c>
      <c r="AN29" s="231" cm="1">
        <f t="array" ref="AN29">AM29</f>
        <v>20710.3563333333</v>
      </c>
      <c r="AO29" s="231" cm="1">
        <f t="array" ref="AO29">AN29</f>
        <v>20710.3563333333</v>
      </c>
      <c r="AP29" s="231" cm="1">
        <f t="array" ref="AP29">AO29</f>
        <v>20710.3563333333</v>
      </c>
      <c r="AQ29" s="231" cm="1">
        <f t="array" ref="AQ29">AP29</f>
        <v>20710.3563333333</v>
      </c>
      <c r="AR29" s="231" cm="1">
        <f t="array" ref="AR29">AQ29</f>
        <v>20710.3563333333</v>
      </c>
      <c r="AS29" s="231" cm="1">
        <f t="array" ref="AS29">AR29</f>
        <v>20710.3563333333</v>
      </c>
      <c r="AT29" s="231" cm="1">
        <f t="array" ref="AT29">AS29</f>
        <v>20710.3563333333</v>
      </c>
      <c r="AU29" s="231" cm="1">
        <f t="array" ref="AU29">AT29</f>
        <v>20710.3563333333</v>
      </c>
      <c r="AV29" s="231" cm="1">
        <f t="array" ref="AV29">AU29</f>
        <v>20710.3563333333</v>
      </c>
      <c r="AW29" s="231" cm="1">
        <f t="array" ref="AW29">AV29</f>
        <v>20710.3563333333</v>
      </c>
      <c r="AX29" s="231" cm="1">
        <f t="array" ref="AX29">AW29</f>
        <v>20710.3563333333</v>
      </c>
      <c r="AY29" s="231" cm="1">
        <f t="array" ref="AY29">AX29</f>
        <v>20710.3563333333</v>
      </c>
      <c r="AZ29" s="231" cm="1">
        <f t="array" ref="AZ29">AY29</f>
        <v>20710.3563333333</v>
      </c>
      <c r="BA29" s="13"/>
      <c r="BB29" s="13"/>
      <c r="BC29" s="13"/>
      <c r="BD29" s="17"/>
    </row>
    <row r="30" ht="15.75" customHeight="1">
      <c r="A30" s="197"/>
      <c r="B30" s="198" cm="1">
        <f t="array" ref="B30">B29+1</f>
        <v>8</v>
      </c>
      <c r="C30" t="s" s="207">
        <v>70</v>
      </c>
      <c r="D30" t="s" s="219">
        <v>161</v>
      </c>
      <c r="E30" s="220">
        <v>495</v>
      </c>
      <c r="F30" s="221" cm="1">
        <f t="array" ref="F30">E30*$F$5/30</f>
        <v>495</v>
      </c>
      <c r="G30" s="221">
        <v>341</v>
      </c>
      <c r="H30" s="222" cm="1">
        <f t="array" ref="H30">G30-F30</f>
        <v>-154</v>
      </c>
      <c r="I30" s="221" cm="1">
        <f t="array" ref="I30">F30/$F$5</f>
        <v>16.5</v>
      </c>
      <c r="J30" s="222" cm="1">
        <f t="array" ref="J30">G30/$F$5</f>
        <v>11.3666666666667</v>
      </c>
      <c r="K30" s="221" cm="1">
        <f t="array" ref="K30">(E30-H30-F30)/(30-$F$5)</f>
      </c>
      <c r="L30" s="204" cm="1">
        <f t="array" ref="L30">G30/F30</f>
        <v>0.688888888888889</v>
      </c>
      <c r="M30" s="13"/>
      <c r="N30" s="13"/>
      <c r="O30" s="13"/>
      <c r="P30" s="13"/>
      <c r="Q30" s="13"/>
      <c r="R30" s="13"/>
      <c r="S30" s="13"/>
      <c r="T30" s="111"/>
      <c r="U30" s="194" cm="1">
        <f t="array" ref="U30">U29+1</f>
        <v>3</v>
      </c>
      <c r="V30" t="str" s="186" cm="1">
        <f t="array" ref="V30">V20</f>
        <v>Rio Mar Mercado</v>
      </c>
      <c r="W30" s="231" cm="1">
        <f t="array" ref="W30">AVERAGE(W10:AZ10)</f>
        <v>6481.405</v>
      </c>
      <c r="X30" s="231" cm="1">
        <f t="array" ref="X30">W30</f>
        <v>6481.405</v>
      </c>
      <c r="Y30" s="231" cm="1">
        <f t="array" ref="Y30">X30</f>
        <v>6481.405</v>
      </c>
      <c r="Z30" s="231" cm="1">
        <f t="array" ref="Z30">Y30</f>
        <v>6481.405</v>
      </c>
      <c r="AA30" s="231" cm="1">
        <f t="array" ref="AA30">Z30</f>
        <v>6481.405</v>
      </c>
      <c r="AB30" s="231" cm="1">
        <f t="array" ref="AB30">AA30</f>
        <v>6481.405</v>
      </c>
      <c r="AC30" s="231" cm="1">
        <f t="array" ref="AC30">AB30</f>
        <v>6481.405</v>
      </c>
      <c r="AD30" s="231" cm="1">
        <f t="array" ref="AD30">AC30</f>
        <v>6481.405</v>
      </c>
      <c r="AE30" s="231" cm="1">
        <f t="array" ref="AE30">AD30</f>
        <v>6481.405</v>
      </c>
      <c r="AF30" s="231" cm="1">
        <f t="array" ref="AF30">AE30</f>
        <v>6481.405</v>
      </c>
      <c r="AG30" s="231" cm="1">
        <f t="array" ref="AG30">AF30</f>
        <v>6481.405</v>
      </c>
      <c r="AH30" s="231" cm="1">
        <f t="array" ref="AH30">AG30</f>
        <v>6481.405</v>
      </c>
      <c r="AI30" s="231" cm="1">
        <f t="array" ref="AI30">AH30</f>
        <v>6481.405</v>
      </c>
      <c r="AJ30" s="231" cm="1">
        <f t="array" ref="AJ30">AI30</f>
        <v>6481.405</v>
      </c>
      <c r="AK30" s="231" cm="1">
        <f t="array" ref="AK30">AJ30</f>
        <v>6481.405</v>
      </c>
      <c r="AL30" s="231" cm="1">
        <f t="array" ref="AL30">AK30</f>
        <v>6481.405</v>
      </c>
      <c r="AM30" s="231" cm="1">
        <f t="array" ref="AM30">AL30</f>
        <v>6481.405</v>
      </c>
      <c r="AN30" s="231" cm="1">
        <f t="array" ref="AN30">AM30</f>
        <v>6481.405</v>
      </c>
      <c r="AO30" s="231" cm="1">
        <f t="array" ref="AO30">AN30</f>
        <v>6481.405</v>
      </c>
      <c r="AP30" s="231" cm="1">
        <f t="array" ref="AP30">AO30</f>
        <v>6481.405</v>
      </c>
      <c r="AQ30" s="231" cm="1">
        <f t="array" ref="AQ30">AP30</f>
        <v>6481.405</v>
      </c>
      <c r="AR30" s="231" cm="1">
        <f t="array" ref="AR30">AQ30</f>
        <v>6481.405</v>
      </c>
      <c r="AS30" s="231" cm="1">
        <f t="array" ref="AS30">AR30</f>
        <v>6481.405</v>
      </c>
      <c r="AT30" s="231" cm="1">
        <f t="array" ref="AT30">AS30</f>
        <v>6481.405</v>
      </c>
      <c r="AU30" s="231" cm="1">
        <f t="array" ref="AU30">AT30</f>
        <v>6481.405</v>
      </c>
      <c r="AV30" s="231" cm="1">
        <f t="array" ref="AV30">AU30</f>
        <v>6481.405</v>
      </c>
      <c r="AW30" s="231" cm="1">
        <f t="array" ref="AW30">AV30</f>
        <v>6481.405</v>
      </c>
      <c r="AX30" s="231" cm="1">
        <f t="array" ref="AX30">AW30</f>
        <v>6481.405</v>
      </c>
      <c r="AY30" s="231" cm="1">
        <f t="array" ref="AY30">AX30</f>
        <v>6481.405</v>
      </c>
      <c r="AZ30" s="231" cm="1">
        <f t="array" ref="AZ30">AY30</f>
        <v>6481.405</v>
      </c>
      <c r="BA30" s="13"/>
      <c r="BB30" s="13"/>
      <c r="BC30" s="13"/>
      <c r="BD30" s="17"/>
    </row>
    <row r="31" ht="15.75" customHeight="1">
      <c r="A31" s="12"/>
      <c r="B31" s="223"/>
      <c r="C31" s="13"/>
      <c r="D31" t="s" s="224">
        <v>60</v>
      </c>
      <c r="E31" s="225" cm="1">
        <f t="array" ref="E31">SUM(E23:E30)</f>
        <v>20193.3065375</v>
      </c>
      <c r="F31" s="226" cm="1">
        <f t="array" ref="F31">SUM(F23:F30)</f>
        <v>20193.3065375</v>
      </c>
      <c r="G31" s="226" cm="1">
        <f t="array" ref="G31">SUM(G23:G30)</f>
        <v>15504</v>
      </c>
      <c r="H31" s="227" cm="1">
        <f t="array" ref="H31">SUM(H23:H30)</f>
        <v>-4689.3065375</v>
      </c>
      <c r="I31" s="228" cm="1">
        <f t="array" ref="I31">F31/$F$5</f>
        <v>673.110217916667</v>
      </c>
      <c r="J31" s="228" cm="1">
        <f t="array" ref="J31">G31/$F$5</f>
        <v>516.8</v>
      </c>
      <c r="K31" s="229" cm="1">
        <f t="array" ref="K31">(E31-H31-F31)/(30-$F$5)</f>
      </c>
      <c r="L31" s="230" cm="1">
        <f t="array" ref="L31">G31/F31</f>
        <v>0.767779163417753</v>
      </c>
      <c r="M31" s="13"/>
      <c r="N31" s="13"/>
      <c r="O31" s="13"/>
      <c r="P31" s="13"/>
      <c r="Q31" s="13"/>
      <c r="R31" s="13"/>
      <c r="S31" s="13"/>
      <c r="T31" s="111"/>
      <c r="U31" s="194" cm="1">
        <f t="array" ref="U31">U30+1</f>
        <v>4</v>
      </c>
      <c r="V31" t="str" s="186" cm="1">
        <f t="array" ref="V31">V21</f>
        <v>Paiva</v>
      </c>
      <c r="W31" s="231" cm="1">
        <f t="array" ref="W31">AVERAGE(W11:AZ11)</f>
        <v>9759.715933333329</v>
      </c>
      <c r="X31" s="231" cm="1">
        <f t="array" ref="X31">W31</f>
        <v>9759.715933333329</v>
      </c>
      <c r="Y31" s="231" cm="1">
        <f t="array" ref="Y31">X31</f>
        <v>9759.715933333329</v>
      </c>
      <c r="Z31" s="231" cm="1">
        <f t="array" ref="Z31">Y31</f>
        <v>9759.715933333329</v>
      </c>
      <c r="AA31" s="231" cm="1">
        <f t="array" ref="AA31">Z31</f>
        <v>9759.715933333329</v>
      </c>
      <c r="AB31" s="231" cm="1">
        <f t="array" ref="AB31">AA31</f>
        <v>9759.715933333329</v>
      </c>
      <c r="AC31" s="231" cm="1">
        <f t="array" ref="AC31">AB31</f>
        <v>9759.715933333329</v>
      </c>
      <c r="AD31" s="231" cm="1">
        <f t="array" ref="AD31">AC31</f>
        <v>9759.715933333329</v>
      </c>
      <c r="AE31" s="231" cm="1">
        <f t="array" ref="AE31">AD31</f>
        <v>9759.715933333329</v>
      </c>
      <c r="AF31" s="231" cm="1">
        <f t="array" ref="AF31">AE31</f>
        <v>9759.715933333329</v>
      </c>
      <c r="AG31" s="231" cm="1">
        <f t="array" ref="AG31">AF31</f>
        <v>9759.715933333329</v>
      </c>
      <c r="AH31" s="231" cm="1">
        <f t="array" ref="AH31">AG31</f>
        <v>9759.715933333329</v>
      </c>
      <c r="AI31" s="231" cm="1">
        <f t="array" ref="AI31">AH31</f>
        <v>9759.715933333329</v>
      </c>
      <c r="AJ31" s="231" cm="1">
        <f t="array" ref="AJ31">AI31</f>
        <v>9759.715933333329</v>
      </c>
      <c r="AK31" s="231" cm="1">
        <f t="array" ref="AK31">AJ31</f>
        <v>9759.715933333329</v>
      </c>
      <c r="AL31" s="231" cm="1">
        <f t="array" ref="AL31">AK31</f>
        <v>9759.715933333329</v>
      </c>
      <c r="AM31" s="231" cm="1">
        <f t="array" ref="AM31">AL31</f>
        <v>9759.715933333329</v>
      </c>
      <c r="AN31" s="231" cm="1">
        <f t="array" ref="AN31">AM31</f>
        <v>9759.715933333329</v>
      </c>
      <c r="AO31" s="231" cm="1">
        <f t="array" ref="AO31">AN31</f>
        <v>9759.715933333329</v>
      </c>
      <c r="AP31" s="231" cm="1">
        <f t="array" ref="AP31">AO31</f>
        <v>9759.715933333329</v>
      </c>
      <c r="AQ31" s="231" cm="1">
        <f t="array" ref="AQ31">AP31</f>
        <v>9759.715933333329</v>
      </c>
      <c r="AR31" s="231" cm="1">
        <f t="array" ref="AR31">AQ31</f>
        <v>9759.715933333329</v>
      </c>
      <c r="AS31" s="231" cm="1">
        <f t="array" ref="AS31">AR31</f>
        <v>9759.715933333329</v>
      </c>
      <c r="AT31" s="231" cm="1">
        <f t="array" ref="AT31">AS31</f>
        <v>9759.715933333329</v>
      </c>
      <c r="AU31" s="231" cm="1">
        <f t="array" ref="AU31">AT31</f>
        <v>9759.715933333329</v>
      </c>
      <c r="AV31" s="231" cm="1">
        <f t="array" ref="AV31">AU31</f>
        <v>9759.715933333329</v>
      </c>
      <c r="AW31" s="231" cm="1">
        <f t="array" ref="AW31">AV31</f>
        <v>9759.715933333329</v>
      </c>
      <c r="AX31" s="231" cm="1">
        <f t="array" ref="AX31">AW31</f>
        <v>9759.715933333329</v>
      </c>
      <c r="AY31" s="231" cm="1">
        <f t="array" ref="AY31">AX31</f>
        <v>9759.715933333329</v>
      </c>
      <c r="AZ31" s="231" cm="1">
        <f t="array" ref="AZ31">AY31</f>
        <v>9759.715933333329</v>
      </c>
      <c r="BA31" s="13"/>
      <c r="BB31" s="13"/>
      <c r="BC31" s="13"/>
      <c r="BD31" s="17"/>
    </row>
    <row r="32" ht="15.75" customHeight="1">
      <c r="A32" s="12"/>
      <c r="B32" s="13"/>
      <c r="C32" s="13"/>
      <c r="D32" s="232"/>
      <c r="E32" s="232"/>
      <c r="F32" s="232"/>
      <c r="G32" s="232"/>
      <c r="H32" s="232"/>
      <c r="I32" s="232"/>
      <c r="J32" s="232"/>
      <c r="K32" s="232"/>
      <c r="L32" s="13"/>
      <c r="M32" s="13"/>
      <c r="N32" s="13"/>
      <c r="O32" s="13"/>
      <c r="P32" s="13"/>
      <c r="Q32" s="13"/>
      <c r="R32" s="13"/>
      <c r="S32" s="13"/>
      <c r="T32" s="111"/>
      <c r="U32" s="194" cm="1">
        <f t="array" ref="U32">U31+1</f>
        <v>5</v>
      </c>
      <c r="V32" t="str" s="186" cm="1">
        <f t="array" ref="V32">V22</f>
        <v>Delivery</v>
      </c>
      <c r="W32" s="231" cm="1">
        <f t="array" ref="W32">AVERAGE(W12:AZ12)</f>
        <v>7574.345333333330</v>
      </c>
      <c r="X32" s="231" cm="1">
        <f t="array" ref="X32">W32</f>
        <v>7574.345333333330</v>
      </c>
      <c r="Y32" s="231" cm="1">
        <f t="array" ref="Y32">X32</f>
        <v>7574.345333333330</v>
      </c>
      <c r="Z32" s="231" cm="1">
        <f t="array" ref="Z32">Y32</f>
        <v>7574.345333333330</v>
      </c>
      <c r="AA32" s="231" cm="1">
        <f t="array" ref="AA32">Z32</f>
        <v>7574.345333333330</v>
      </c>
      <c r="AB32" s="231" cm="1">
        <f t="array" ref="AB32">AA32</f>
        <v>7574.345333333330</v>
      </c>
      <c r="AC32" s="231" cm="1">
        <f t="array" ref="AC32">AB32</f>
        <v>7574.345333333330</v>
      </c>
      <c r="AD32" s="231" cm="1">
        <f t="array" ref="AD32">AC32</f>
        <v>7574.345333333330</v>
      </c>
      <c r="AE32" s="231" cm="1">
        <f t="array" ref="AE32">AD32</f>
        <v>7574.345333333330</v>
      </c>
      <c r="AF32" s="231" cm="1">
        <f t="array" ref="AF32">AE32</f>
        <v>7574.345333333330</v>
      </c>
      <c r="AG32" s="231" cm="1">
        <f t="array" ref="AG32">AF32</f>
        <v>7574.345333333330</v>
      </c>
      <c r="AH32" s="231" cm="1">
        <f t="array" ref="AH32">AG32</f>
        <v>7574.345333333330</v>
      </c>
      <c r="AI32" s="231" cm="1">
        <f t="array" ref="AI32">AH32</f>
        <v>7574.345333333330</v>
      </c>
      <c r="AJ32" s="231" cm="1">
        <f t="array" ref="AJ32">AI32</f>
        <v>7574.345333333330</v>
      </c>
      <c r="AK32" s="231" cm="1">
        <f t="array" ref="AK32">AJ32</f>
        <v>7574.345333333330</v>
      </c>
      <c r="AL32" s="231" cm="1">
        <f t="array" ref="AL32">AK32</f>
        <v>7574.345333333330</v>
      </c>
      <c r="AM32" s="231" cm="1">
        <f t="array" ref="AM32">AL32</f>
        <v>7574.345333333330</v>
      </c>
      <c r="AN32" s="231" cm="1">
        <f t="array" ref="AN32">AM32</f>
        <v>7574.345333333330</v>
      </c>
      <c r="AO32" s="231" cm="1">
        <f t="array" ref="AO32">AN32</f>
        <v>7574.345333333330</v>
      </c>
      <c r="AP32" s="231" cm="1">
        <f t="array" ref="AP32">AO32</f>
        <v>7574.345333333330</v>
      </c>
      <c r="AQ32" s="231" cm="1">
        <f t="array" ref="AQ32">AP32</f>
        <v>7574.345333333330</v>
      </c>
      <c r="AR32" s="231" cm="1">
        <f t="array" ref="AR32">AQ32</f>
        <v>7574.345333333330</v>
      </c>
      <c r="AS32" s="231" cm="1">
        <f t="array" ref="AS32">AR32</f>
        <v>7574.345333333330</v>
      </c>
      <c r="AT32" s="231" cm="1">
        <f t="array" ref="AT32">AS32</f>
        <v>7574.345333333330</v>
      </c>
      <c r="AU32" s="231" cm="1">
        <f t="array" ref="AU32">AT32</f>
        <v>7574.345333333330</v>
      </c>
      <c r="AV32" s="231" cm="1">
        <f t="array" ref="AV32">AU32</f>
        <v>7574.345333333330</v>
      </c>
      <c r="AW32" s="231" cm="1">
        <f t="array" ref="AW32">AV32</f>
        <v>7574.345333333330</v>
      </c>
      <c r="AX32" s="231" cm="1">
        <f t="array" ref="AX32">AW32</f>
        <v>7574.345333333330</v>
      </c>
      <c r="AY32" s="231" cm="1">
        <f t="array" ref="AY32">AX32</f>
        <v>7574.345333333330</v>
      </c>
      <c r="AZ32" s="231" cm="1">
        <f t="array" ref="AZ32">AY32</f>
        <v>7574.345333333330</v>
      </c>
      <c r="BA32" s="13"/>
      <c r="BB32" s="13"/>
      <c r="BC32" s="13"/>
      <c r="BD32" s="17"/>
    </row>
    <row r="33" ht="15.75" customHeight="1">
      <c r="A33" s="12"/>
      <c r="B33" s="13"/>
      <c r="C33" s="13"/>
      <c r="D33" s="246"/>
      <c r="E33" s="246"/>
      <c r="F33" s="246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11"/>
      <c r="U33" s="194" cm="1">
        <f t="array" ref="U33">U32+1</f>
        <v>6</v>
      </c>
      <c r="V33" t="str" s="186" cm="1">
        <f t="array" ref="V33">V23</f>
        <v>Cabanga</v>
      </c>
      <c r="W33" s="231" cm="1">
        <f t="array" ref="W33">AVERAGE(W13:AZ13)</f>
        <v>1145.058333333330</v>
      </c>
      <c r="X33" s="231" cm="1">
        <f t="array" ref="X33">W33</f>
        <v>1145.058333333330</v>
      </c>
      <c r="Y33" s="231" cm="1">
        <f t="array" ref="Y33">X33</f>
        <v>1145.058333333330</v>
      </c>
      <c r="Z33" s="231" cm="1">
        <f t="array" ref="Z33">Y33</f>
        <v>1145.058333333330</v>
      </c>
      <c r="AA33" s="231" cm="1">
        <f t="array" ref="AA33">Z33</f>
        <v>1145.058333333330</v>
      </c>
      <c r="AB33" s="231" cm="1">
        <f t="array" ref="AB33">AA33</f>
        <v>1145.058333333330</v>
      </c>
      <c r="AC33" s="231" cm="1">
        <f t="array" ref="AC33">AB33</f>
        <v>1145.058333333330</v>
      </c>
      <c r="AD33" s="231" cm="1">
        <f t="array" ref="AD33">AC33</f>
        <v>1145.058333333330</v>
      </c>
      <c r="AE33" s="231" cm="1">
        <f t="array" ref="AE33">AD33</f>
        <v>1145.058333333330</v>
      </c>
      <c r="AF33" s="231" cm="1">
        <f t="array" ref="AF33">AE33</f>
        <v>1145.058333333330</v>
      </c>
      <c r="AG33" s="231" cm="1">
        <f t="array" ref="AG33">AF33</f>
        <v>1145.058333333330</v>
      </c>
      <c r="AH33" s="231" cm="1">
        <f t="array" ref="AH33">AG33</f>
        <v>1145.058333333330</v>
      </c>
      <c r="AI33" s="231" cm="1">
        <f t="array" ref="AI33">AH33</f>
        <v>1145.058333333330</v>
      </c>
      <c r="AJ33" s="231" cm="1">
        <f t="array" ref="AJ33">AI33</f>
        <v>1145.058333333330</v>
      </c>
      <c r="AK33" s="231" cm="1">
        <f t="array" ref="AK33">AJ33</f>
        <v>1145.058333333330</v>
      </c>
      <c r="AL33" s="231" cm="1">
        <f t="array" ref="AL33">AK33</f>
        <v>1145.058333333330</v>
      </c>
      <c r="AM33" s="231" cm="1">
        <f t="array" ref="AM33">AL33</f>
        <v>1145.058333333330</v>
      </c>
      <c r="AN33" s="231" cm="1">
        <f t="array" ref="AN33">AM33</f>
        <v>1145.058333333330</v>
      </c>
      <c r="AO33" s="231" cm="1">
        <f t="array" ref="AO33">AN33</f>
        <v>1145.058333333330</v>
      </c>
      <c r="AP33" s="231" cm="1">
        <f t="array" ref="AP33">AO33</f>
        <v>1145.058333333330</v>
      </c>
      <c r="AQ33" s="231" cm="1">
        <f t="array" ref="AQ33">AP33</f>
        <v>1145.058333333330</v>
      </c>
      <c r="AR33" s="231" cm="1">
        <f t="array" ref="AR33">AQ33</f>
        <v>1145.058333333330</v>
      </c>
      <c r="AS33" s="231" cm="1">
        <f t="array" ref="AS33">AR33</f>
        <v>1145.058333333330</v>
      </c>
      <c r="AT33" s="231" cm="1">
        <f t="array" ref="AT33">AS33</f>
        <v>1145.058333333330</v>
      </c>
      <c r="AU33" s="231" cm="1">
        <f t="array" ref="AU33">AT33</f>
        <v>1145.058333333330</v>
      </c>
      <c r="AV33" s="231" cm="1">
        <f t="array" ref="AV33">AU33</f>
        <v>1145.058333333330</v>
      </c>
      <c r="AW33" s="231" cm="1">
        <f t="array" ref="AW33">AV33</f>
        <v>1145.058333333330</v>
      </c>
      <c r="AX33" s="231" cm="1">
        <f t="array" ref="AX33">AW33</f>
        <v>1145.058333333330</v>
      </c>
      <c r="AY33" s="231" cm="1">
        <f t="array" ref="AY33">AX33</f>
        <v>1145.058333333330</v>
      </c>
      <c r="AZ33" s="231" cm="1">
        <f t="array" ref="AZ33">AY33</f>
        <v>1145.058333333330</v>
      </c>
      <c r="BA33" s="13"/>
      <c r="BB33" s="13"/>
      <c r="BC33" s="13"/>
      <c r="BD33" s="17"/>
    </row>
    <row r="34" ht="15.75" customHeight="1">
      <c r="A34" s="12"/>
      <c r="B34" s="13"/>
      <c r="C34" t="s" s="175">
        <v>170</v>
      </c>
      <c r="D34" s="247"/>
      <c r="E34" s="247"/>
      <c r="F34" s="24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11"/>
      <c r="U34" s="194" cm="1">
        <f t="array" ref="U34">U33+1</f>
        <v>7</v>
      </c>
      <c r="V34" t="str" s="186" cm="1">
        <f t="array" ref="V34">V24</f>
        <v>Velocity</v>
      </c>
      <c r="W34" s="231" cm="1">
        <f t="array" ref="W34">AVERAGE(W14:AZ14)</f>
        <v>1645.144333333330</v>
      </c>
      <c r="X34" s="231" cm="1">
        <f t="array" ref="X34">W34</f>
        <v>1645.144333333330</v>
      </c>
      <c r="Y34" s="231" cm="1">
        <f t="array" ref="Y34">X34</f>
        <v>1645.144333333330</v>
      </c>
      <c r="Z34" s="231" cm="1">
        <f t="array" ref="Z34">Y34</f>
        <v>1645.144333333330</v>
      </c>
      <c r="AA34" s="231" cm="1">
        <f t="array" ref="AA34">Z34</f>
        <v>1645.144333333330</v>
      </c>
      <c r="AB34" s="231" cm="1">
        <f t="array" ref="AB34">AA34</f>
        <v>1645.144333333330</v>
      </c>
      <c r="AC34" s="231" cm="1">
        <f t="array" ref="AC34">AB34</f>
        <v>1645.144333333330</v>
      </c>
      <c r="AD34" s="231" cm="1">
        <f t="array" ref="AD34">AC34</f>
        <v>1645.144333333330</v>
      </c>
      <c r="AE34" s="231" cm="1">
        <f t="array" ref="AE34">AD34</f>
        <v>1645.144333333330</v>
      </c>
      <c r="AF34" s="231" cm="1">
        <f t="array" ref="AF34">AE34</f>
        <v>1645.144333333330</v>
      </c>
      <c r="AG34" s="231" cm="1">
        <f t="array" ref="AG34">AF34</f>
        <v>1645.144333333330</v>
      </c>
      <c r="AH34" s="231" cm="1">
        <f t="array" ref="AH34">AG34</f>
        <v>1645.144333333330</v>
      </c>
      <c r="AI34" s="231" cm="1">
        <f t="array" ref="AI34">AH34</f>
        <v>1645.144333333330</v>
      </c>
      <c r="AJ34" s="231" cm="1">
        <f t="array" ref="AJ34">AI34</f>
        <v>1645.144333333330</v>
      </c>
      <c r="AK34" s="231" cm="1">
        <f t="array" ref="AK34">AJ34</f>
        <v>1645.144333333330</v>
      </c>
      <c r="AL34" s="231" cm="1">
        <f t="array" ref="AL34">AK34</f>
        <v>1645.144333333330</v>
      </c>
      <c r="AM34" s="231" cm="1">
        <f t="array" ref="AM34">AL34</f>
        <v>1645.144333333330</v>
      </c>
      <c r="AN34" s="231" cm="1">
        <f t="array" ref="AN34">AM34</f>
        <v>1645.144333333330</v>
      </c>
      <c r="AO34" s="231" cm="1">
        <f t="array" ref="AO34">AN34</f>
        <v>1645.144333333330</v>
      </c>
      <c r="AP34" s="231" cm="1">
        <f t="array" ref="AP34">AO34</f>
        <v>1645.144333333330</v>
      </c>
      <c r="AQ34" s="231" cm="1">
        <f t="array" ref="AQ34">AP34</f>
        <v>1645.144333333330</v>
      </c>
      <c r="AR34" s="231" cm="1">
        <f t="array" ref="AR34">AQ34</f>
        <v>1645.144333333330</v>
      </c>
      <c r="AS34" s="231" cm="1">
        <f t="array" ref="AS34">AR34</f>
        <v>1645.144333333330</v>
      </c>
      <c r="AT34" s="231" cm="1">
        <f t="array" ref="AT34">AS34</f>
        <v>1645.144333333330</v>
      </c>
      <c r="AU34" s="231" cm="1">
        <f t="array" ref="AU34">AT34</f>
        <v>1645.144333333330</v>
      </c>
      <c r="AV34" s="231" cm="1">
        <f t="array" ref="AV34">AU34</f>
        <v>1645.144333333330</v>
      </c>
      <c r="AW34" s="231" cm="1">
        <f t="array" ref="AW34">AV34</f>
        <v>1645.144333333330</v>
      </c>
      <c r="AX34" s="231" cm="1">
        <f t="array" ref="AX34">AW34</f>
        <v>1645.144333333330</v>
      </c>
      <c r="AY34" s="231" cm="1">
        <f t="array" ref="AY34">AX34</f>
        <v>1645.144333333330</v>
      </c>
      <c r="AZ34" s="231" cm="1">
        <f t="array" ref="AZ34">AY34</f>
        <v>1645.144333333330</v>
      </c>
      <c r="BA34" s="13"/>
      <c r="BB34" s="13"/>
      <c r="BC34" s="13"/>
      <c r="BD34" s="17"/>
    </row>
    <row r="35" ht="15.75" customHeight="1">
      <c r="A35" s="12"/>
      <c r="B35" s="47"/>
      <c r="C35" s="111"/>
      <c r="D35" t="s" s="185">
        <v>26</v>
      </c>
      <c r="E35" t="s" s="185">
        <v>27</v>
      </c>
      <c r="F35" t="s" s="185">
        <v>28</v>
      </c>
      <c r="G35" s="186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11"/>
      <c r="U35" s="194" cm="1">
        <f t="array" ref="U35">U34+1</f>
        <v>8</v>
      </c>
      <c r="V35" t="str" s="186" cm="1">
        <f t="array" ref="V35">V25</f>
        <v>Lagoa Azul</v>
      </c>
      <c r="W35" s="231" cm="1">
        <f t="array" ref="W35">AVERAGE(W15:AZ15)</f>
        <v>2064.845333333330</v>
      </c>
      <c r="X35" s="231" cm="1">
        <f t="array" ref="X35">W35</f>
        <v>2064.845333333330</v>
      </c>
      <c r="Y35" s="231" cm="1">
        <f t="array" ref="Y35">X35</f>
        <v>2064.845333333330</v>
      </c>
      <c r="Z35" s="231" cm="1">
        <f t="array" ref="Z35">Y35</f>
        <v>2064.845333333330</v>
      </c>
      <c r="AA35" s="231" cm="1">
        <f t="array" ref="AA35">Z35</f>
        <v>2064.845333333330</v>
      </c>
      <c r="AB35" s="231" cm="1">
        <f t="array" ref="AB35">AA35</f>
        <v>2064.845333333330</v>
      </c>
      <c r="AC35" s="231" cm="1">
        <f t="array" ref="AC35">AB35</f>
        <v>2064.845333333330</v>
      </c>
      <c r="AD35" s="231" cm="1">
        <f t="array" ref="AD35">AC35</f>
        <v>2064.845333333330</v>
      </c>
      <c r="AE35" s="231" cm="1">
        <f t="array" ref="AE35">AD35</f>
        <v>2064.845333333330</v>
      </c>
      <c r="AF35" s="231" cm="1">
        <f t="array" ref="AF35">AE35</f>
        <v>2064.845333333330</v>
      </c>
      <c r="AG35" s="231" cm="1">
        <f t="array" ref="AG35">AF35</f>
        <v>2064.845333333330</v>
      </c>
      <c r="AH35" s="231" cm="1">
        <f t="array" ref="AH35">AG35</f>
        <v>2064.845333333330</v>
      </c>
      <c r="AI35" s="231" cm="1">
        <f t="array" ref="AI35">AH35</f>
        <v>2064.845333333330</v>
      </c>
      <c r="AJ35" s="231" cm="1">
        <f t="array" ref="AJ35">AI35</f>
        <v>2064.845333333330</v>
      </c>
      <c r="AK35" s="231" cm="1">
        <f t="array" ref="AK35">AJ35</f>
        <v>2064.845333333330</v>
      </c>
      <c r="AL35" s="231" cm="1">
        <f t="array" ref="AL35">AK35</f>
        <v>2064.845333333330</v>
      </c>
      <c r="AM35" s="231" cm="1">
        <f t="array" ref="AM35">AL35</f>
        <v>2064.845333333330</v>
      </c>
      <c r="AN35" s="231" cm="1">
        <f t="array" ref="AN35">AM35</f>
        <v>2064.845333333330</v>
      </c>
      <c r="AO35" s="231" cm="1">
        <f t="array" ref="AO35">AN35</f>
        <v>2064.845333333330</v>
      </c>
      <c r="AP35" s="231" cm="1">
        <f t="array" ref="AP35">AO35</f>
        <v>2064.845333333330</v>
      </c>
      <c r="AQ35" s="231" cm="1">
        <f t="array" ref="AQ35">AP35</f>
        <v>2064.845333333330</v>
      </c>
      <c r="AR35" s="231" cm="1">
        <f t="array" ref="AR35">AQ35</f>
        <v>2064.845333333330</v>
      </c>
      <c r="AS35" s="231" cm="1">
        <f t="array" ref="AS35">AR35</f>
        <v>2064.845333333330</v>
      </c>
      <c r="AT35" s="231" cm="1">
        <f t="array" ref="AT35">AS35</f>
        <v>2064.845333333330</v>
      </c>
      <c r="AU35" s="231" cm="1">
        <f t="array" ref="AU35">AT35</f>
        <v>2064.845333333330</v>
      </c>
      <c r="AV35" s="231" cm="1">
        <f t="array" ref="AV35">AU35</f>
        <v>2064.845333333330</v>
      </c>
      <c r="AW35" s="231" cm="1">
        <f t="array" ref="AW35">AV35</f>
        <v>2064.845333333330</v>
      </c>
      <c r="AX35" s="231" cm="1">
        <f t="array" ref="AX35">AW35</f>
        <v>2064.845333333330</v>
      </c>
      <c r="AY35" s="231" cm="1">
        <f t="array" ref="AY35">AX35</f>
        <v>2064.845333333330</v>
      </c>
      <c r="AZ35" s="231" cm="1">
        <f t="array" ref="AZ35">AY35</f>
        <v>2064.845333333330</v>
      </c>
      <c r="BA35" s="13"/>
      <c r="BB35" s="13"/>
      <c r="BC35" s="13"/>
      <c r="BD35" s="17"/>
    </row>
    <row r="36" ht="15.75" customHeight="1">
      <c r="A36" s="197"/>
      <c r="B36" s="198">
        <v>1</v>
      </c>
      <c r="C36" t="s" s="248">
        <v>62</v>
      </c>
      <c r="D36" s="249">
        <v>100</v>
      </c>
      <c r="E36" s="250" cm="1">
        <f t="array" ref="E36">G9/G23</f>
        <v>122.088954607978</v>
      </c>
      <c r="F36" s="251" cm="1">
        <f t="array" ref="F36">E36-D36</f>
        <v>22.088954607978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11"/>
      <c r="U36" s="194" cm="1">
        <f t="array" ref="U36">U35+1</f>
        <v>9</v>
      </c>
      <c r="V36" t="str" s="186" cm="1">
        <f t="array" ref="V36">V26</f>
        <v>Maison</v>
      </c>
      <c r="W36" s="231" cm="1">
        <f t="array" ref="W36">AVERAGE(W16:AZ16)</f>
        <v>860.984</v>
      </c>
      <c r="X36" s="231" cm="1">
        <f t="array" ref="X36">W36</f>
        <v>860.984</v>
      </c>
      <c r="Y36" s="231" cm="1">
        <f t="array" ref="Y36">X36</f>
        <v>860.984</v>
      </c>
      <c r="Z36" s="231" cm="1">
        <f t="array" ref="Z36">Y36</f>
        <v>860.984</v>
      </c>
      <c r="AA36" s="231" cm="1">
        <f t="array" ref="AA36">Z36</f>
        <v>860.984</v>
      </c>
      <c r="AB36" s="231" cm="1">
        <f t="array" ref="AB36">AA36</f>
        <v>860.984</v>
      </c>
      <c r="AC36" s="231" cm="1">
        <f t="array" ref="AC36">AB36</f>
        <v>860.984</v>
      </c>
      <c r="AD36" s="231" cm="1">
        <f t="array" ref="AD36">AC36</f>
        <v>860.984</v>
      </c>
      <c r="AE36" s="231" cm="1">
        <f t="array" ref="AE36">AD36</f>
        <v>860.984</v>
      </c>
      <c r="AF36" s="231" cm="1">
        <f t="array" ref="AF36">AE36</f>
        <v>860.984</v>
      </c>
      <c r="AG36" s="231" cm="1">
        <f t="array" ref="AG36">AF36</f>
        <v>860.984</v>
      </c>
      <c r="AH36" s="231" cm="1">
        <f t="array" ref="AH36">AG36</f>
        <v>860.984</v>
      </c>
      <c r="AI36" s="231" cm="1">
        <f t="array" ref="AI36">AH36</f>
        <v>860.984</v>
      </c>
      <c r="AJ36" s="231" cm="1">
        <f t="array" ref="AJ36">AI36</f>
        <v>860.984</v>
      </c>
      <c r="AK36" s="231" cm="1">
        <f t="array" ref="AK36">AJ36</f>
        <v>860.984</v>
      </c>
      <c r="AL36" s="231" cm="1">
        <f t="array" ref="AL36">AK36</f>
        <v>860.984</v>
      </c>
      <c r="AM36" s="231" cm="1">
        <f t="array" ref="AM36">AL36</f>
        <v>860.984</v>
      </c>
      <c r="AN36" s="231" cm="1">
        <f t="array" ref="AN36">AM36</f>
        <v>860.984</v>
      </c>
      <c r="AO36" s="231" cm="1">
        <f t="array" ref="AO36">AN36</f>
        <v>860.984</v>
      </c>
      <c r="AP36" s="231" cm="1">
        <f t="array" ref="AP36">AO36</f>
        <v>860.984</v>
      </c>
      <c r="AQ36" s="231" cm="1">
        <f t="array" ref="AQ36">AP36</f>
        <v>860.984</v>
      </c>
      <c r="AR36" s="231" cm="1">
        <f t="array" ref="AR36">AQ36</f>
        <v>860.984</v>
      </c>
      <c r="AS36" s="231" cm="1">
        <f t="array" ref="AS36">AR36</f>
        <v>860.984</v>
      </c>
      <c r="AT36" s="231" cm="1">
        <f t="array" ref="AT36">AS36</f>
        <v>860.984</v>
      </c>
      <c r="AU36" s="231" cm="1">
        <f t="array" ref="AU36">AT36</f>
        <v>860.984</v>
      </c>
      <c r="AV36" s="231" cm="1">
        <f t="array" ref="AV36">AU36</f>
        <v>860.984</v>
      </c>
      <c r="AW36" s="231" cm="1">
        <f t="array" ref="AW36">AV36</f>
        <v>860.984</v>
      </c>
      <c r="AX36" s="231" cm="1">
        <f t="array" ref="AX36">AW36</f>
        <v>860.984</v>
      </c>
      <c r="AY36" s="231" cm="1">
        <f t="array" ref="AY36">AX36</f>
        <v>860.984</v>
      </c>
      <c r="AZ36" s="231" cm="1">
        <f t="array" ref="AZ36">AY36</f>
        <v>860.984</v>
      </c>
      <c r="BA36" s="13"/>
      <c r="BB36" s="13"/>
      <c r="BC36" s="13"/>
      <c r="BD36" s="17"/>
    </row>
    <row r="37" ht="15.75" customHeight="1">
      <c r="A37" s="197"/>
      <c r="B37" s="198" cm="1">
        <f t="array" ref="B37">B36+1</f>
        <v>2</v>
      </c>
      <c r="C37" t="s" s="252">
        <v>64</v>
      </c>
      <c r="D37" s="253">
        <v>70</v>
      </c>
      <c r="E37" s="254" cm="1">
        <f t="array" ref="E37">G10/G24</f>
        <v>86.5726402493321</v>
      </c>
      <c r="F37" s="255" cm="1">
        <f t="array" ref="F37">E37-D37</f>
        <v>16.5726402493321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20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7"/>
    </row>
    <row r="38" ht="15.75" customHeight="1">
      <c r="A38" s="197"/>
      <c r="B38" s="198" cm="1">
        <f t="array" ref="B38">B37+1</f>
        <v>3</v>
      </c>
      <c r="C38" t="s" s="248">
        <v>65</v>
      </c>
      <c r="D38" s="249">
        <v>120</v>
      </c>
      <c r="E38" s="250" cm="1">
        <f t="array" ref="E38">G11/G25</f>
        <v>162.121527131783</v>
      </c>
      <c r="F38" s="255" cm="1">
        <f t="array" ref="F38">E38-D38</f>
        <v>42.121527131783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88"/>
      <c r="V38" t="s" s="170">
        <v>8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7"/>
    </row>
    <row r="39" ht="15.75" customHeight="1">
      <c r="A39" s="197"/>
      <c r="B39" s="198" cm="1">
        <f t="array" ref="B39">B38+1</f>
        <v>4</v>
      </c>
      <c r="C39" t="s" s="252">
        <v>66</v>
      </c>
      <c r="D39" s="253">
        <v>70</v>
      </c>
      <c r="E39" s="254" cm="1">
        <f t="array" ref="E39">G12/G26</f>
        <v>106.982278719397</v>
      </c>
      <c r="F39" s="255" cm="1">
        <f t="array" ref="F39">E39-D39</f>
        <v>36.982278719397</v>
      </c>
      <c r="G39" s="13"/>
      <c r="H39" s="13"/>
      <c r="I39" s="13"/>
      <c r="J39" s="13"/>
      <c r="K39" s="13"/>
      <c r="L39" s="240"/>
      <c r="M39" s="13"/>
      <c r="N39" s="13"/>
      <c r="O39" s="13"/>
      <c r="P39" s="13"/>
      <c r="Q39" s="13"/>
      <c r="R39" s="13"/>
      <c r="S39" s="13"/>
      <c r="T39" s="111"/>
      <c r="U39" s="194">
        <v>1</v>
      </c>
      <c r="V39" t="s" s="195">
        <v>61</v>
      </c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13"/>
      <c r="BB39" s="13"/>
      <c r="BC39" s="13"/>
      <c r="BD39" s="17"/>
    </row>
    <row r="40" ht="15.75" customHeight="1">
      <c r="A40" s="197"/>
      <c r="B40" s="198" cm="1">
        <f t="array" ref="B40">B39+1</f>
        <v>5</v>
      </c>
      <c r="C40" t="s" s="248">
        <v>67</v>
      </c>
      <c r="D40" s="249">
        <v>50</v>
      </c>
      <c r="E40" s="250" cm="1">
        <f t="array" ref="E40">G13/G27</f>
        <v>47.2513755158184</v>
      </c>
      <c r="F40" s="257" cm="1">
        <f t="array" ref="F40">E40-D40</f>
        <v>-2.7486244841816</v>
      </c>
      <c r="G40" s="13"/>
      <c r="H40" s="13"/>
      <c r="I40" s="13"/>
      <c r="J40" s="13"/>
      <c r="K40" s="13"/>
      <c r="L40" s="240"/>
      <c r="M40" s="13"/>
      <c r="N40" s="13"/>
      <c r="O40" s="13"/>
      <c r="P40" s="13"/>
      <c r="Q40" s="13"/>
      <c r="R40" s="13"/>
      <c r="S40" s="13"/>
      <c r="T40" s="111"/>
      <c r="U40" s="194" cm="1">
        <f t="array" ref="U40">U39+1</f>
        <v>2</v>
      </c>
      <c r="V40" t="str" s="205" cm="1">
        <f t="array" ref="V40">V9</f>
        <v>Rio Mar Restaurante</v>
      </c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13"/>
      <c r="BB40" s="13"/>
      <c r="BC40" s="13"/>
      <c r="BD40" s="17"/>
    </row>
    <row r="41" ht="15.75" customHeight="1">
      <c r="A41" s="197"/>
      <c r="B41" s="198" cm="1">
        <f t="array" ref="B41">B40+1</f>
        <v>6</v>
      </c>
      <c r="C41" t="s" s="252">
        <v>68</v>
      </c>
      <c r="D41" s="253">
        <v>50</v>
      </c>
      <c r="E41" s="254" cm="1">
        <f t="array" ref="E41">G14/G28</f>
        <v>46.9594005708849</v>
      </c>
      <c r="F41" s="257" cm="1">
        <f t="array" ref="F41">E41-D41</f>
        <v>-3.0405994291151</v>
      </c>
      <c r="G41" s="13"/>
      <c r="H41" s="13"/>
      <c r="I41" s="13"/>
      <c r="J41" s="13"/>
      <c r="K41" s="13"/>
      <c r="L41" s="240"/>
      <c r="M41" s="13"/>
      <c r="N41" s="13"/>
      <c r="O41" s="13"/>
      <c r="P41" s="13"/>
      <c r="Q41" s="13"/>
      <c r="R41" s="13"/>
      <c r="S41" s="13"/>
      <c r="T41" s="111"/>
      <c r="U41" s="194" cm="1">
        <f t="array" ref="U41">U40+1</f>
        <v>3</v>
      </c>
      <c r="V41" t="str" s="205" cm="1">
        <f t="array" ref="V41">V10</f>
        <v>Rio Mar Mercado</v>
      </c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13"/>
      <c r="BB41" s="13"/>
      <c r="BC41" s="13"/>
      <c r="BD41" s="17"/>
    </row>
    <row r="42" ht="15.75" customHeight="1">
      <c r="A42" s="197"/>
      <c r="B42" s="198" cm="1">
        <f t="array" ref="B42">B41+1</f>
        <v>7</v>
      </c>
      <c r="C42" t="s" s="248">
        <v>69</v>
      </c>
      <c r="D42" s="249">
        <v>50</v>
      </c>
      <c r="E42" s="250" cm="1">
        <f t="array" ref="E42">G15/G29</f>
        <v>29.2195094339623</v>
      </c>
      <c r="F42" s="257" cm="1">
        <f t="array" ref="F42">E42-D42</f>
        <v>-20.7804905660377</v>
      </c>
      <c r="G42" s="13"/>
      <c r="H42" s="13"/>
      <c r="I42" s="13"/>
      <c r="J42" s="13"/>
      <c r="K42" s="13"/>
      <c r="L42" s="240"/>
      <c r="M42" s="13"/>
      <c r="N42" s="13"/>
      <c r="O42" s="13"/>
      <c r="P42" s="13"/>
      <c r="Q42" s="13"/>
      <c r="R42" s="13"/>
      <c r="S42" s="13"/>
      <c r="T42" s="111"/>
      <c r="U42" s="194" cm="1">
        <f t="array" ref="U42">U41+1</f>
        <v>4</v>
      </c>
      <c r="V42" t="str" s="205" cm="1">
        <f t="array" ref="V42">V11</f>
        <v>Paiva</v>
      </c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13"/>
      <c r="BB42" s="13"/>
      <c r="BC42" s="13"/>
      <c r="BD42" s="17"/>
    </row>
    <row r="43" ht="15.75" customHeight="1">
      <c r="A43" s="197"/>
      <c r="B43" s="198" cm="1">
        <f t="array" ref="B43">B42+1</f>
        <v>8</v>
      </c>
      <c r="C43" t="s" s="258">
        <v>70</v>
      </c>
      <c r="D43" s="259">
        <v>120</v>
      </c>
      <c r="E43" s="260" cm="1">
        <f t="array" ref="E43">G16/G30</f>
        <v>75.74639296187679</v>
      </c>
      <c r="F43" s="257" cm="1">
        <f t="array" ref="F43">E43-D43</f>
        <v>-44.2536070381232</v>
      </c>
      <c r="G43" s="13"/>
      <c r="H43" s="13"/>
      <c r="I43" s="13"/>
      <c r="J43" s="13"/>
      <c r="K43" s="13"/>
      <c r="L43" s="240"/>
      <c r="M43" s="13"/>
      <c r="N43" s="13"/>
      <c r="O43" s="13"/>
      <c r="P43" s="13"/>
      <c r="Q43" s="13"/>
      <c r="R43" s="13"/>
      <c r="S43" s="13"/>
      <c r="T43" s="111"/>
      <c r="U43" s="194" cm="1">
        <f t="array" ref="U43">U42+1</f>
        <v>5</v>
      </c>
      <c r="V43" t="str" s="205" cm="1">
        <f t="array" ref="V43">V12</f>
        <v>Delivery</v>
      </c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13"/>
      <c r="BB43" s="13"/>
      <c r="BC43" s="13"/>
      <c r="BD43" s="17"/>
    </row>
    <row r="44" ht="15.75" customHeight="1">
      <c r="A44" s="12"/>
      <c r="B44" s="120"/>
      <c r="C44" t="s" s="261">
        <v>60</v>
      </c>
      <c r="D44" s="226" cm="1">
        <f t="array" ref="D44">SUMPRODUCT(D36:D43,F9:F16)/F17</f>
        <v>90.266222047206</v>
      </c>
      <c r="E44" s="226" cm="1">
        <f t="array" ref="E44">SUMPRODUCT(E36:E43,G9:G16)/G17</f>
        <v>114.229653573722</v>
      </c>
      <c r="F44" s="262" cm="1">
        <f t="array" ref="F44">E44-D44</f>
        <v>23.963431526516</v>
      </c>
      <c r="G44" s="13"/>
      <c r="H44" s="13"/>
      <c r="I44" s="13"/>
      <c r="J44" s="13"/>
      <c r="K44" s="13"/>
      <c r="L44" s="240"/>
      <c r="M44" s="13"/>
      <c r="N44" s="13"/>
      <c r="O44" s="13"/>
      <c r="P44" s="13"/>
      <c r="Q44" s="13"/>
      <c r="R44" s="13"/>
      <c r="S44" s="13"/>
      <c r="T44" s="111"/>
      <c r="U44" s="194" cm="1">
        <f t="array" ref="U44">U43+1</f>
        <v>6</v>
      </c>
      <c r="V44" t="str" s="205" cm="1">
        <f t="array" ref="V44">V13</f>
        <v>Cabanga</v>
      </c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13"/>
      <c r="BB44" s="13"/>
      <c r="BC44" s="13"/>
      <c r="BD44" s="17"/>
    </row>
    <row r="45" ht="15.75" customHeight="1">
      <c r="A45" s="12"/>
      <c r="B45" s="13"/>
      <c r="C45" s="232"/>
      <c r="D45" s="232"/>
      <c r="E45" s="232"/>
      <c r="F45" s="13"/>
      <c r="G45" s="13"/>
      <c r="H45" s="13"/>
      <c r="I45" s="13"/>
      <c r="J45" s="13"/>
      <c r="K45" s="13"/>
      <c r="L45" s="240"/>
      <c r="M45" s="13"/>
      <c r="N45" s="13"/>
      <c r="O45" s="13"/>
      <c r="P45" s="13"/>
      <c r="Q45" s="13"/>
      <c r="R45" s="13"/>
      <c r="S45" s="13"/>
      <c r="T45" s="111"/>
      <c r="U45" s="194" cm="1">
        <f t="array" ref="U45">U44+1</f>
        <v>7</v>
      </c>
      <c r="V45" t="str" s="205" cm="1">
        <f t="array" ref="V45">V14</f>
        <v>Velocity</v>
      </c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13"/>
      <c r="BB45" s="13"/>
      <c r="BC45" s="13"/>
      <c r="BD45" s="17"/>
    </row>
    <row r="46" ht="15.75" customHeight="1">
      <c r="A46" s="12"/>
      <c r="B46" s="133"/>
      <c r="C46" s="133"/>
      <c r="D46" s="263">
        <v>5</v>
      </c>
      <c r="E46" s="263">
        <v>7</v>
      </c>
      <c r="F46" s="263">
        <v>7</v>
      </c>
      <c r="G46" s="263">
        <v>7</v>
      </c>
      <c r="H46" s="263">
        <v>4</v>
      </c>
      <c r="I46" s="133"/>
      <c r="J46" s="133"/>
      <c r="K46" s="13"/>
      <c r="L46" s="13"/>
      <c r="M46" s="13"/>
      <c r="N46" s="13"/>
      <c r="O46" s="13"/>
      <c r="P46" s="13"/>
      <c r="Q46" s="13"/>
      <c r="R46" s="13"/>
      <c r="S46" s="13"/>
      <c r="T46" s="111"/>
      <c r="U46" s="194" cm="1">
        <f t="array" ref="U46">U45+1</f>
        <v>8</v>
      </c>
      <c r="V46" t="str" s="205" cm="1">
        <f t="array" ref="V46">V15</f>
        <v>Lagoa Azul</v>
      </c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4"/>
      <c r="AT46" s="264"/>
      <c r="AU46" s="264"/>
      <c r="AV46" s="264"/>
      <c r="AW46" s="264"/>
      <c r="AX46" s="264"/>
      <c r="AY46" s="264"/>
      <c r="AZ46" s="264"/>
      <c r="BA46" s="13"/>
      <c r="BB46" s="13"/>
      <c r="BC46" s="13"/>
      <c r="BD46" s="17"/>
    </row>
    <row r="47" ht="15.75" customHeight="1">
      <c r="A47" s="12"/>
      <c r="B47" s="265"/>
      <c r="C47" s="133"/>
      <c r="D47" t="s" s="266">
        <v>95</v>
      </c>
      <c r="E47" t="s" s="267">
        <v>96</v>
      </c>
      <c r="F47" t="s" s="267">
        <v>97</v>
      </c>
      <c r="G47" t="s" s="267">
        <v>98</v>
      </c>
      <c r="H47" t="s" s="268">
        <v>99</v>
      </c>
      <c r="I47" t="s" s="268">
        <v>60</v>
      </c>
      <c r="J47" t="s" s="268">
        <v>171</v>
      </c>
      <c r="K47" s="269"/>
      <c r="L47" s="13"/>
      <c r="M47" s="13"/>
      <c r="N47" s="13"/>
      <c r="O47" s="13"/>
      <c r="P47" s="13"/>
      <c r="Q47" s="13"/>
      <c r="R47" s="13"/>
      <c r="S47" s="13"/>
      <c r="T47" s="111"/>
      <c r="U47" s="194" cm="1">
        <f t="array" ref="U47">U46+1</f>
        <v>9</v>
      </c>
      <c r="V47" t="str" s="205" cm="1">
        <f t="array" ref="V47">V16</f>
        <v>Maison</v>
      </c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  <c r="AM47" s="264"/>
      <c r="AN47" s="264"/>
      <c r="AO47" s="264"/>
      <c r="AP47" s="264"/>
      <c r="AQ47" s="264"/>
      <c r="AR47" s="264"/>
      <c r="AS47" s="264"/>
      <c r="AT47" s="264"/>
      <c r="AU47" s="264"/>
      <c r="AV47" s="264"/>
      <c r="AW47" s="264"/>
      <c r="AX47" s="264"/>
      <c r="AY47" s="264"/>
      <c r="AZ47" s="264"/>
      <c r="BA47" s="13"/>
      <c r="BB47" s="13"/>
      <c r="BC47" s="13"/>
      <c r="BD47" s="17"/>
    </row>
    <row r="48" ht="15.75" customHeight="1">
      <c r="A48" s="197"/>
      <c r="B48" s="270">
        <v>1</v>
      </c>
      <c r="C48" t="s" s="271">
        <v>100</v>
      </c>
      <c r="D48" s="272" cm="1">
        <f t="array" ref="D48">SUM(W8:AA8)</f>
        <v>222495.65</v>
      </c>
      <c r="E48" s="272" cm="1">
        <f t="array" ref="E48">SUM(AB8:AH8)</f>
        <v>333717.28</v>
      </c>
      <c r="F48" s="272" cm="1">
        <f t="array" ref="F48">SUM(AI8:AO8)</f>
        <v>332023.84</v>
      </c>
      <c r="G48" s="272" cm="1">
        <f t="array" ref="G48">SUM(AP8:AV8)</f>
        <v>416405.008</v>
      </c>
      <c r="H48" s="273" cm="1">
        <f t="array" ref="H48">SUM(AW8:AZ8)</f>
        <v>202613.86</v>
      </c>
      <c r="I48" s="274" cm="1">
        <f t="array" ref="I48">SUM(D48:H48)</f>
        <v>1507255.638</v>
      </c>
      <c r="J48" s="275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0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7"/>
    </row>
    <row r="49" ht="15.75" customHeight="1">
      <c r="A49" s="197"/>
      <c r="B49" s="270">
        <v>2</v>
      </c>
      <c r="C49" t="s" s="276">
        <v>62</v>
      </c>
      <c r="D49" s="277" cm="1">
        <f t="array" ref="D49">SUM(W9:AA9)</f>
        <v>86750.23</v>
      </c>
      <c r="E49" s="277" cm="1">
        <f t="array" ref="E49">SUM(AB9:AH9)</f>
        <v>149507.02</v>
      </c>
      <c r="F49" s="277" cm="1">
        <f t="array" ref="F49">SUM(AI9:AO9)</f>
        <v>138895.16</v>
      </c>
      <c r="G49" s="277" cm="1">
        <f t="array" ref="G49">SUM(AP9:AV9)</f>
        <v>157706.04</v>
      </c>
      <c r="H49" s="277" cm="1">
        <f t="array" ref="H49">SUM(AW9:AZ9)</f>
        <v>88452.240000000005</v>
      </c>
      <c r="I49" s="278" cm="1">
        <f t="array" ref="I49">SUM(D49:H49)</f>
        <v>621310.6899999999</v>
      </c>
      <c r="J49" s="133"/>
      <c r="K49" s="13"/>
      <c r="L49" s="13"/>
      <c r="M49" s="13"/>
      <c r="N49" s="13"/>
      <c r="O49" s="13"/>
      <c r="P49" s="13"/>
      <c r="Q49" s="13"/>
      <c r="R49" s="13"/>
      <c r="S49" s="13"/>
      <c r="T49" s="111"/>
      <c r="U49" s="194">
        <v>1</v>
      </c>
      <c r="V49" t="s" s="237">
        <v>162</v>
      </c>
      <c r="W49" s="118" cm="1">
        <f t="array" ref="W49">SUM(W50:W57)</f>
        <v>673.110217916667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7"/>
    </row>
    <row r="50" ht="15.75" customHeight="1">
      <c r="A50" s="197"/>
      <c r="B50" s="270">
        <v>3</v>
      </c>
      <c r="C50" t="s" s="276">
        <v>64</v>
      </c>
      <c r="D50" s="277" cm="1">
        <f t="array" ref="D50">SUM(W10:AA10)</f>
        <v>28426.66</v>
      </c>
      <c r="E50" s="277" cm="1">
        <f t="array" ref="E50">SUM(AB10:AH10)</f>
        <v>42476.15</v>
      </c>
      <c r="F50" s="277" cm="1">
        <f t="array" ref="F50">SUM(AI10:AO10)</f>
        <v>50091.45</v>
      </c>
      <c r="G50" s="277" cm="1">
        <f t="array" ref="G50">SUM(AP10:AV10)</f>
        <v>46739.73</v>
      </c>
      <c r="H50" s="277" cm="1">
        <f t="array" ref="H50">SUM(AW10:AZ10)</f>
        <v>26708.16</v>
      </c>
      <c r="I50" s="278" cm="1">
        <f t="array" ref="I50">SUM(D50:H50)</f>
        <v>194442.15</v>
      </c>
      <c r="J50" s="133"/>
      <c r="K50" s="13"/>
      <c r="L50" s="13"/>
      <c r="M50" s="13"/>
      <c r="N50" s="13"/>
      <c r="O50" s="13"/>
      <c r="P50" s="13"/>
      <c r="Q50" s="13"/>
      <c r="R50" s="13"/>
      <c r="S50" s="13"/>
      <c r="T50" s="111"/>
      <c r="U50" s="194" cm="1">
        <f t="array" ref="U50">U49+1</f>
        <v>2</v>
      </c>
      <c r="V50" t="str" s="186" cm="1">
        <f t="array" ref="V50">V40</f>
        <v>Rio Mar Restaurante</v>
      </c>
      <c r="W50" s="118" cm="1">
        <f t="array" ref="W50">I23</f>
        <v>200</v>
      </c>
      <c r="X50" s="118" cm="1">
        <f t="array" ref="X50">W50</f>
        <v>200</v>
      </c>
      <c r="Y50" s="118" cm="1">
        <f t="array" ref="Y50">X50</f>
        <v>200</v>
      </c>
      <c r="Z50" s="118" cm="1">
        <f t="array" ref="Z50">Y50</f>
        <v>200</v>
      </c>
      <c r="AA50" s="118" cm="1">
        <f t="array" ref="AA50">Z50</f>
        <v>200</v>
      </c>
      <c r="AB50" s="118" cm="1">
        <f t="array" ref="AB50">AA50</f>
        <v>200</v>
      </c>
      <c r="AC50" s="118" cm="1">
        <f t="array" ref="AC50">AB50</f>
        <v>200</v>
      </c>
      <c r="AD50" s="118" cm="1">
        <f t="array" ref="AD50">AC50</f>
        <v>200</v>
      </c>
      <c r="AE50" s="118" cm="1">
        <f t="array" ref="AE50">AD50</f>
        <v>200</v>
      </c>
      <c r="AF50" s="118" cm="1">
        <f t="array" ref="AF50">AE50</f>
        <v>200</v>
      </c>
      <c r="AG50" s="118" cm="1">
        <f t="array" ref="AG50">AF50</f>
        <v>200</v>
      </c>
      <c r="AH50" s="118" cm="1">
        <f t="array" ref="AH50">AG50</f>
        <v>200</v>
      </c>
      <c r="AI50" s="118" cm="1">
        <f t="array" ref="AI50">AH50</f>
        <v>200</v>
      </c>
      <c r="AJ50" s="118" cm="1">
        <f t="array" ref="AJ50">AI50</f>
        <v>200</v>
      </c>
      <c r="AK50" s="118" cm="1">
        <f t="array" ref="AK50">AJ50</f>
        <v>200</v>
      </c>
      <c r="AL50" s="118" cm="1">
        <f t="array" ref="AL50">AK50</f>
        <v>200</v>
      </c>
      <c r="AM50" s="118" cm="1">
        <f t="array" ref="AM50">AL50</f>
        <v>200</v>
      </c>
      <c r="AN50" s="118" cm="1">
        <f t="array" ref="AN50">AM50</f>
        <v>200</v>
      </c>
      <c r="AO50" s="118" cm="1">
        <f t="array" ref="AO50">AN50</f>
        <v>200</v>
      </c>
      <c r="AP50" s="118" cm="1">
        <f t="array" ref="AP50">AO50</f>
        <v>200</v>
      </c>
      <c r="AQ50" s="118" cm="1">
        <f t="array" ref="AQ50">AP50</f>
        <v>200</v>
      </c>
      <c r="AR50" s="118" cm="1">
        <f t="array" ref="AR50">AQ50</f>
        <v>200</v>
      </c>
      <c r="AS50" s="118" cm="1">
        <f t="array" ref="AS50">AR50</f>
        <v>200</v>
      </c>
      <c r="AT50" s="118" cm="1">
        <f t="array" ref="AT50">AS50</f>
        <v>200</v>
      </c>
      <c r="AU50" s="118" cm="1">
        <f t="array" ref="AU50">AT50</f>
        <v>200</v>
      </c>
      <c r="AV50" s="118" cm="1">
        <f t="array" ref="AV50">AU50</f>
        <v>200</v>
      </c>
      <c r="AW50" s="118" cm="1">
        <f t="array" ref="AW50">AV50</f>
        <v>200</v>
      </c>
      <c r="AX50" s="118" cm="1">
        <f t="array" ref="AX50">AW50</f>
        <v>200</v>
      </c>
      <c r="AY50" s="118" cm="1">
        <f t="array" ref="AY50">AX50</f>
        <v>200</v>
      </c>
      <c r="AZ50" s="118" cm="1">
        <f t="array" ref="AZ50">AY50</f>
        <v>200</v>
      </c>
      <c r="BA50" s="13"/>
      <c r="BB50" s="13"/>
      <c r="BC50" s="13"/>
      <c r="BD50" s="17"/>
    </row>
    <row r="51" ht="15.75" customHeight="1">
      <c r="A51" s="197"/>
      <c r="B51" s="270">
        <v>4</v>
      </c>
      <c r="C51" t="s" s="276">
        <v>65</v>
      </c>
      <c r="D51" s="277" cm="1">
        <f t="array" ref="D51">SUM(W11:AA11)</f>
        <v>62192.87</v>
      </c>
      <c r="E51" s="277" cm="1">
        <f t="array" ref="E51">SUM(AB11:AH11)</f>
        <v>51595.91</v>
      </c>
      <c r="F51" s="277" cm="1">
        <f t="array" ref="F51">SUM(AI11:AO11)</f>
        <v>57372.39</v>
      </c>
      <c r="G51" s="277" cm="1">
        <f t="array" ref="G51">SUM(AP11:AV11)</f>
        <v>98897.467999999993</v>
      </c>
      <c r="H51" s="277" cm="1">
        <f t="array" ref="H51">SUM(AW11:AZ11)</f>
        <v>22732.84</v>
      </c>
      <c r="I51" s="278" cm="1">
        <f t="array" ref="I51">SUM(D51:H51)</f>
        <v>292791.478</v>
      </c>
      <c r="J51" s="133"/>
      <c r="K51" s="13"/>
      <c r="L51" s="13"/>
      <c r="M51" s="13"/>
      <c r="N51" s="13"/>
      <c r="O51" s="13"/>
      <c r="P51" s="13"/>
      <c r="Q51" s="13"/>
      <c r="R51" s="13"/>
      <c r="S51" s="13"/>
      <c r="T51" s="111"/>
      <c r="U51" s="194" cm="1">
        <f t="array" ref="U51">U50+1</f>
        <v>3</v>
      </c>
      <c r="V51" t="str" s="186" cm="1">
        <f t="array" ref="V51">V41</f>
        <v>Rio Mar Mercado</v>
      </c>
      <c r="W51" s="118" cm="1">
        <f t="array" ref="W51">I24</f>
        <v>114.301890666667</v>
      </c>
      <c r="X51" s="118" cm="1">
        <f t="array" ref="X51">W51</f>
        <v>114.301890666667</v>
      </c>
      <c r="Y51" s="118" cm="1">
        <f t="array" ref="Y51">X51</f>
        <v>114.301890666667</v>
      </c>
      <c r="Z51" s="118" cm="1">
        <f t="array" ref="Z51">Y51</f>
        <v>114.301890666667</v>
      </c>
      <c r="AA51" s="118" cm="1">
        <f t="array" ref="AA51">Z51</f>
        <v>114.301890666667</v>
      </c>
      <c r="AB51" s="118" cm="1">
        <f t="array" ref="AB51">AA51</f>
        <v>114.301890666667</v>
      </c>
      <c r="AC51" s="118" cm="1">
        <f t="array" ref="AC51">AB51</f>
        <v>114.301890666667</v>
      </c>
      <c r="AD51" s="118" cm="1">
        <f t="array" ref="AD51">AC51</f>
        <v>114.301890666667</v>
      </c>
      <c r="AE51" s="118" cm="1">
        <f t="array" ref="AE51">AD51</f>
        <v>114.301890666667</v>
      </c>
      <c r="AF51" s="118" cm="1">
        <f t="array" ref="AF51">AE51</f>
        <v>114.301890666667</v>
      </c>
      <c r="AG51" s="118" cm="1">
        <f t="array" ref="AG51">AF51</f>
        <v>114.301890666667</v>
      </c>
      <c r="AH51" s="118" cm="1">
        <f t="array" ref="AH51">AG51</f>
        <v>114.301890666667</v>
      </c>
      <c r="AI51" s="118" cm="1">
        <f t="array" ref="AI51">AH51</f>
        <v>114.301890666667</v>
      </c>
      <c r="AJ51" s="118" cm="1">
        <f t="array" ref="AJ51">AI51</f>
        <v>114.301890666667</v>
      </c>
      <c r="AK51" s="118" cm="1">
        <f t="array" ref="AK51">AJ51</f>
        <v>114.301890666667</v>
      </c>
      <c r="AL51" s="118" cm="1">
        <f t="array" ref="AL51">AK51</f>
        <v>114.301890666667</v>
      </c>
      <c r="AM51" s="118" cm="1">
        <f t="array" ref="AM51">AL51</f>
        <v>114.301890666667</v>
      </c>
      <c r="AN51" s="118" cm="1">
        <f t="array" ref="AN51">AM51</f>
        <v>114.301890666667</v>
      </c>
      <c r="AO51" s="118" cm="1">
        <f t="array" ref="AO51">AN51</f>
        <v>114.301890666667</v>
      </c>
      <c r="AP51" s="118" cm="1">
        <f t="array" ref="AP51">AO51</f>
        <v>114.301890666667</v>
      </c>
      <c r="AQ51" s="118" cm="1">
        <f t="array" ref="AQ51">AP51</f>
        <v>114.301890666667</v>
      </c>
      <c r="AR51" s="118" cm="1">
        <f t="array" ref="AR51">AQ51</f>
        <v>114.301890666667</v>
      </c>
      <c r="AS51" s="118" cm="1">
        <f t="array" ref="AS51">AR51</f>
        <v>114.301890666667</v>
      </c>
      <c r="AT51" s="118" cm="1">
        <f t="array" ref="AT51">AS51</f>
        <v>114.301890666667</v>
      </c>
      <c r="AU51" s="118" cm="1">
        <f t="array" ref="AU51">AT51</f>
        <v>114.301890666667</v>
      </c>
      <c r="AV51" s="118" cm="1">
        <f t="array" ref="AV51">AU51</f>
        <v>114.301890666667</v>
      </c>
      <c r="AW51" s="118" cm="1">
        <f t="array" ref="AW51">AV51</f>
        <v>114.301890666667</v>
      </c>
      <c r="AX51" s="118" cm="1">
        <f t="array" ref="AX51">AW51</f>
        <v>114.301890666667</v>
      </c>
      <c r="AY51" s="118" cm="1">
        <f t="array" ref="AY51">AX51</f>
        <v>114.301890666667</v>
      </c>
      <c r="AZ51" s="118" cm="1">
        <f t="array" ref="AZ51">AY51</f>
        <v>114.301890666667</v>
      </c>
      <c r="BA51" s="13"/>
      <c r="BB51" s="13"/>
      <c r="BC51" s="13"/>
      <c r="BD51" s="17"/>
    </row>
    <row r="52" ht="15.75" customHeight="1">
      <c r="A52" s="197"/>
      <c r="B52" s="270">
        <v>5</v>
      </c>
      <c r="C52" t="s" s="276">
        <v>66</v>
      </c>
      <c r="D52" s="277" cm="1">
        <f t="array" ref="D52">SUM(W12:AA12)</f>
        <v>25287.33</v>
      </c>
      <c r="E52" s="277" cm="1">
        <f t="array" ref="E52">SUM(AB12:AH12)</f>
        <v>49544.37</v>
      </c>
      <c r="F52" s="277" cm="1">
        <f t="array" ref="F52">SUM(AI12:AO12)</f>
        <v>46048.28</v>
      </c>
      <c r="G52" s="277" cm="1">
        <f t="array" ref="G52">SUM(AP12:AV12)</f>
        <v>70940.41</v>
      </c>
      <c r="H52" s="277" cm="1">
        <f t="array" ref="H52">SUM(AW12:AZ12)</f>
        <v>35409.97</v>
      </c>
      <c r="I52" s="278" cm="1">
        <f t="array" ref="I52">SUM(D52:H52)</f>
        <v>227230.36</v>
      </c>
      <c r="J52" s="133"/>
      <c r="K52" s="13"/>
      <c r="L52" s="279"/>
      <c r="M52" s="13"/>
      <c r="N52" s="13"/>
      <c r="O52" s="13"/>
      <c r="P52" s="13"/>
      <c r="Q52" s="13"/>
      <c r="R52" s="13"/>
      <c r="S52" s="13"/>
      <c r="T52" s="111"/>
      <c r="U52" s="194" cm="1">
        <f t="array" ref="U52">U51+1</f>
        <v>4</v>
      </c>
      <c r="V52" t="str" s="186" cm="1">
        <f t="array" ref="V52">V42</f>
        <v>Paiva</v>
      </c>
      <c r="W52" s="118" cm="1">
        <f t="array" ref="W52">I25</f>
        <v>71.47499999999999</v>
      </c>
      <c r="X52" s="118" cm="1">
        <f t="array" ref="X52">W52</f>
        <v>71.47499999999999</v>
      </c>
      <c r="Y52" s="118" cm="1">
        <f t="array" ref="Y52">X52</f>
        <v>71.47499999999999</v>
      </c>
      <c r="Z52" s="118" cm="1">
        <f t="array" ref="Z52">Y52</f>
        <v>71.47499999999999</v>
      </c>
      <c r="AA52" s="118" cm="1">
        <f t="array" ref="AA52">Z52</f>
        <v>71.47499999999999</v>
      </c>
      <c r="AB52" s="118" cm="1">
        <f t="array" ref="AB52">AA52</f>
        <v>71.47499999999999</v>
      </c>
      <c r="AC52" s="118" cm="1">
        <f t="array" ref="AC52">AB52</f>
        <v>71.47499999999999</v>
      </c>
      <c r="AD52" s="118" cm="1">
        <f t="array" ref="AD52">AC52</f>
        <v>71.47499999999999</v>
      </c>
      <c r="AE52" s="118" cm="1">
        <f t="array" ref="AE52">AD52</f>
        <v>71.47499999999999</v>
      </c>
      <c r="AF52" s="118" cm="1">
        <f t="array" ref="AF52">AE52</f>
        <v>71.47499999999999</v>
      </c>
      <c r="AG52" s="118" cm="1">
        <f t="array" ref="AG52">AF52</f>
        <v>71.47499999999999</v>
      </c>
      <c r="AH52" s="118" cm="1">
        <f t="array" ref="AH52">AG52</f>
        <v>71.47499999999999</v>
      </c>
      <c r="AI52" s="118" cm="1">
        <f t="array" ref="AI52">AH52</f>
        <v>71.47499999999999</v>
      </c>
      <c r="AJ52" s="118" cm="1">
        <f t="array" ref="AJ52">AI52</f>
        <v>71.47499999999999</v>
      </c>
      <c r="AK52" s="118" cm="1">
        <f t="array" ref="AK52">AJ52</f>
        <v>71.47499999999999</v>
      </c>
      <c r="AL52" s="118" cm="1">
        <f t="array" ref="AL52">AK52</f>
        <v>71.47499999999999</v>
      </c>
      <c r="AM52" s="118" cm="1">
        <f t="array" ref="AM52">AL52</f>
        <v>71.47499999999999</v>
      </c>
      <c r="AN52" s="118" cm="1">
        <f t="array" ref="AN52">AM52</f>
        <v>71.47499999999999</v>
      </c>
      <c r="AO52" s="118" cm="1">
        <f t="array" ref="AO52">AN52</f>
        <v>71.47499999999999</v>
      </c>
      <c r="AP52" s="118" cm="1">
        <f t="array" ref="AP52">AO52</f>
        <v>71.47499999999999</v>
      </c>
      <c r="AQ52" s="118" cm="1">
        <f t="array" ref="AQ52">AP52</f>
        <v>71.47499999999999</v>
      </c>
      <c r="AR52" s="118" cm="1">
        <f t="array" ref="AR52">AQ52</f>
        <v>71.47499999999999</v>
      </c>
      <c r="AS52" s="118" cm="1">
        <f t="array" ref="AS52">AR52</f>
        <v>71.47499999999999</v>
      </c>
      <c r="AT52" s="118" cm="1">
        <f t="array" ref="AT52">AS52</f>
        <v>71.47499999999999</v>
      </c>
      <c r="AU52" s="118" cm="1">
        <f t="array" ref="AU52">AT52</f>
        <v>71.47499999999999</v>
      </c>
      <c r="AV52" s="118" cm="1">
        <f t="array" ref="AV52">AU52</f>
        <v>71.47499999999999</v>
      </c>
      <c r="AW52" s="118" cm="1">
        <f t="array" ref="AW52">AV52</f>
        <v>71.47499999999999</v>
      </c>
      <c r="AX52" s="118" cm="1">
        <f t="array" ref="AX52">AW52</f>
        <v>71.47499999999999</v>
      </c>
      <c r="AY52" s="118" cm="1">
        <f t="array" ref="AY52">AX52</f>
        <v>71.47499999999999</v>
      </c>
      <c r="AZ52" s="118" cm="1">
        <f t="array" ref="AZ52">AY52</f>
        <v>71.47499999999999</v>
      </c>
      <c r="BA52" s="13"/>
      <c r="BB52" s="13"/>
      <c r="BC52" s="13"/>
      <c r="BD52" s="17"/>
    </row>
    <row r="53" ht="15.75" customHeight="1">
      <c r="A53" s="197"/>
      <c r="B53" s="270">
        <v>6</v>
      </c>
      <c r="C53" t="s" s="276">
        <v>67</v>
      </c>
      <c r="D53" s="277" cm="1">
        <f t="array" ref="D53">SUM(W13:AA13)</f>
        <v>2754.99</v>
      </c>
      <c r="E53" s="277" cm="1">
        <f t="array" ref="E53">SUM(AB13:AH13)</f>
        <v>9043.07</v>
      </c>
      <c r="F53" s="277" cm="1">
        <f t="array" ref="F53">SUM(AI13:AO13)</f>
        <v>8693.280000000001</v>
      </c>
      <c r="G53" s="277" cm="1">
        <f t="array" ref="G53">SUM(AP13:AV13)</f>
        <v>10166.68</v>
      </c>
      <c r="H53" s="277" cm="1">
        <f t="array" ref="H53">SUM(AW13:AZ13)</f>
        <v>3693.73</v>
      </c>
      <c r="I53" s="278" cm="1">
        <f t="array" ref="I53">SUM(D53:H53)</f>
        <v>34351.75</v>
      </c>
      <c r="J53" s="133"/>
      <c r="K53" s="166"/>
      <c r="L53" s="166"/>
      <c r="M53" s="280"/>
      <c r="N53" s="280"/>
      <c r="O53" s="280"/>
      <c r="P53" s="280"/>
      <c r="Q53" s="166"/>
      <c r="R53" s="166"/>
      <c r="S53" s="13"/>
      <c r="T53" s="111"/>
      <c r="U53" s="194" cm="1">
        <f t="array" ref="U53">U52+1</f>
        <v>5</v>
      </c>
      <c r="V53" t="str" s="186" cm="1">
        <f t="array" ref="V53">V43</f>
        <v>Delivery</v>
      </c>
      <c r="W53" s="118" cm="1">
        <f t="array" ref="W53">I26</f>
        <v>75</v>
      </c>
      <c r="X53" s="118" cm="1">
        <f t="array" ref="X53">W53</f>
        <v>75</v>
      </c>
      <c r="Y53" s="118" cm="1">
        <f t="array" ref="Y53">X53</f>
        <v>75</v>
      </c>
      <c r="Z53" s="118" cm="1">
        <f t="array" ref="Z53">Y53</f>
        <v>75</v>
      </c>
      <c r="AA53" s="118" cm="1">
        <f t="array" ref="AA53">Z53</f>
        <v>75</v>
      </c>
      <c r="AB53" s="118" cm="1">
        <f t="array" ref="AB53">AA53</f>
        <v>75</v>
      </c>
      <c r="AC53" s="118" cm="1">
        <f t="array" ref="AC53">AB53</f>
        <v>75</v>
      </c>
      <c r="AD53" s="118" cm="1">
        <f t="array" ref="AD53">AC53</f>
        <v>75</v>
      </c>
      <c r="AE53" s="118" cm="1">
        <f t="array" ref="AE53">AD53</f>
        <v>75</v>
      </c>
      <c r="AF53" s="118" cm="1">
        <f t="array" ref="AF53">AE53</f>
        <v>75</v>
      </c>
      <c r="AG53" s="118" cm="1">
        <f t="array" ref="AG53">AF53</f>
        <v>75</v>
      </c>
      <c r="AH53" s="118" cm="1">
        <f t="array" ref="AH53">AG53</f>
        <v>75</v>
      </c>
      <c r="AI53" s="118" cm="1">
        <f t="array" ref="AI53">AH53</f>
        <v>75</v>
      </c>
      <c r="AJ53" s="118" cm="1">
        <f t="array" ref="AJ53">AI53</f>
        <v>75</v>
      </c>
      <c r="AK53" s="118" cm="1">
        <f t="array" ref="AK53">AJ53</f>
        <v>75</v>
      </c>
      <c r="AL53" s="118" cm="1">
        <f t="array" ref="AL53">AK53</f>
        <v>75</v>
      </c>
      <c r="AM53" s="118" cm="1">
        <f t="array" ref="AM53">AL53</f>
        <v>75</v>
      </c>
      <c r="AN53" s="118" cm="1">
        <f t="array" ref="AN53">AM53</f>
        <v>75</v>
      </c>
      <c r="AO53" s="118" cm="1">
        <f t="array" ref="AO53">AN53</f>
        <v>75</v>
      </c>
      <c r="AP53" s="118" cm="1">
        <f t="array" ref="AP53">AO53</f>
        <v>75</v>
      </c>
      <c r="AQ53" s="118" cm="1">
        <f t="array" ref="AQ53">AP53</f>
        <v>75</v>
      </c>
      <c r="AR53" s="118" cm="1">
        <f t="array" ref="AR53">AQ53</f>
        <v>75</v>
      </c>
      <c r="AS53" s="118" cm="1">
        <f t="array" ref="AS53">AR53</f>
        <v>75</v>
      </c>
      <c r="AT53" s="118" cm="1">
        <f t="array" ref="AT53">AS53</f>
        <v>75</v>
      </c>
      <c r="AU53" s="118" cm="1">
        <f t="array" ref="AU53">AT53</f>
        <v>75</v>
      </c>
      <c r="AV53" s="118" cm="1">
        <f t="array" ref="AV53">AU53</f>
        <v>75</v>
      </c>
      <c r="AW53" s="118" cm="1">
        <f t="array" ref="AW53">AV53</f>
        <v>75</v>
      </c>
      <c r="AX53" s="118" cm="1">
        <f t="array" ref="AX53">AW53</f>
        <v>75</v>
      </c>
      <c r="AY53" s="118" cm="1">
        <f t="array" ref="AY53">AX53</f>
        <v>75</v>
      </c>
      <c r="AZ53" s="118" cm="1">
        <f t="array" ref="AZ53">AY53</f>
        <v>75</v>
      </c>
      <c r="BA53" s="13"/>
      <c r="BB53" s="13"/>
      <c r="BC53" s="13"/>
      <c r="BD53" s="17"/>
    </row>
    <row r="54" ht="15.75" customHeight="1">
      <c r="A54" s="197"/>
      <c r="B54" s="270">
        <v>7</v>
      </c>
      <c r="C54" t="s" s="276">
        <v>68</v>
      </c>
      <c r="D54" s="277" cm="1">
        <f t="array" ref="D54">SUM(W14:AA14)</f>
        <v>6729.11</v>
      </c>
      <c r="E54" s="277" cm="1">
        <f t="array" ref="E54">SUM(AB14:AH14)</f>
        <v>11181.17</v>
      </c>
      <c r="F54" s="277" cm="1">
        <f t="array" ref="F54">SUM(AI14:AO14)</f>
        <v>11950.68</v>
      </c>
      <c r="G54" s="277" cm="1">
        <f t="array" ref="G54">SUM(AP14:AV14)</f>
        <v>10319.72</v>
      </c>
      <c r="H54" s="277" cm="1">
        <f t="array" ref="H54">SUM(AW14:AZ14)</f>
        <v>9173.65</v>
      </c>
      <c r="I54" s="278" cm="1">
        <f t="array" ref="I54">SUM(D54:H54)</f>
        <v>49354.33</v>
      </c>
      <c r="J54" s="133"/>
      <c r="K54" s="167"/>
      <c r="L54" s="279"/>
      <c r="M54" s="13"/>
      <c r="N54" s="13"/>
      <c r="O54" s="13"/>
      <c r="P54" s="13"/>
      <c r="Q54" s="13"/>
      <c r="R54" s="13"/>
      <c r="S54" s="13"/>
      <c r="T54" s="111"/>
      <c r="U54" s="194" cm="1">
        <f t="array" ref="U54">U53+1</f>
        <v>6</v>
      </c>
      <c r="V54" t="str" s="186" cm="1">
        <f t="array" ref="V54">V44</f>
        <v>Cabanga</v>
      </c>
      <c r="W54" s="118" cm="1">
        <f t="array" ref="W54">I27</f>
        <v>49.999995</v>
      </c>
      <c r="X54" s="118" cm="1">
        <f t="array" ref="X54">W54</f>
        <v>49.999995</v>
      </c>
      <c r="Y54" s="118" cm="1">
        <f t="array" ref="Y54">X54</f>
        <v>49.999995</v>
      </c>
      <c r="Z54" s="118" cm="1">
        <f t="array" ref="Z54">Y54</f>
        <v>49.999995</v>
      </c>
      <c r="AA54" s="118" cm="1">
        <f t="array" ref="AA54">Z54</f>
        <v>49.999995</v>
      </c>
      <c r="AB54" s="118" cm="1">
        <f t="array" ref="AB54">AA54</f>
        <v>49.999995</v>
      </c>
      <c r="AC54" s="118" cm="1">
        <f t="array" ref="AC54">AB54</f>
        <v>49.999995</v>
      </c>
      <c r="AD54" s="118" cm="1">
        <f t="array" ref="AD54">AC54</f>
        <v>49.999995</v>
      </c>
      <c r="AE54" s="118" cm="1">
        <f t="array" ref="AE54">AD54</f>
        <v>49.999995</v>
      </c>
      <c r="AF54" s="118" cm="1">
        <f t="array" ref="AF54">AE54</f>
        <v>49.999995</v>
      </c>
      <c r="AG54" s="118" cm="1">
        <f t="array" ref="AG54">AF54</f>
        <v>49.999995</v>
      </c>
      <c r="AH54" s="118" cm="1">
        <f t="array" ref="AH54">AG54</f>
        <v>49.999995</v>
      </c>
      <c r="AI54" s="118" cm="1">
        <f t="array" ref="AI54">AH54</f>
        <v>49.999995</v>
      </c>
      <c r="AJ54" s="118" cm="1">
        <f t="array" ref="AJ54">AI54</f>
        <v>49.999995</v>
      </c>
      <c r="AK54" s="118" cm="1">
        <f t="array" ref="AK54">AJ54</f>
        <v>49.999995</v>
      </c>
      <c r="AL54" s="118" cm="1">
        <f t="array" ref="AL54">AK54</f>
        <v>49.999995</v>
      </c>
      <c r="AM54" s="118" cm="1">
        <f t="array" ref="AM54">AL54</f>
        <v>49.999995</v>
      </c>
      <c r="AN54" s="118" cm="1">
        <f t="array" ref="AN54">AM54</f>
        <v>49.999995</v>
      </c>
      <c r="AO54" s="118" cm="1">
        <f t="array" ref="AO54">AN54</f>
        <v>49.999995</v>
      </c>
      <c r="AP54" s="118" cm="1">
        <f t="array" ref="AP54">AO54</f>
        <v>49.999995</v>
      </c>
      <c r="AQ54" s="118" cm="1">
        <f t="array" ref="AQ54">AP54</f>
        <v>49.999995</v>
      </c>
      <c r="AR54" s="118" cm="1">
        <f t="array" ref="AR54">AQ54</f>
        <v>49.999995</v>
      </c>
      <c r="AS54" s="118" cm="1">
        <f t="array" ref="AS54">AR54</f>
        <v>49.999995</v>
      </c>
      <c r="AT54" s="118" cm="1">
        <f t="array" ref="AT54">AS54</f>
        <v>49.999995</v>
      </c>
      <c r="AU54" s="118" cm="1">
        <f t="array" ref="AU54">AT54</f>
        <v>49.999995</v>
      </c>
      <c r="AV54" s="118" cm="1">
        <f t="array" ref="AV54">AU54</f>
        <v>49.999995</v>
      </c>
      <c r="AW54" s="118" cm="1">
        <f t="array" ref="AW54">AV54</f>
        <v>49.999995</v>
      </c>
      <c r="AX54" s="118" cm="1">
        <f t="array" ref="AX54">AW54</f>
        <v>49.999995</v>
      </c>
      <c r="AY54" s="118" cm="1">
        <f t="array" ref="AY54">AX54</f>
        <v>49.999995</v>
      </c>
      <c r="AZ54" s="118" cm="1">
        <f t="array" ref="AZ54">AY54</f>
        <v>49.999995</v>
      </c>
      <c r="BA54" s="13"/>
      <c r="BB54" s="13"/>
      <c r="BC54" s="13"/>
      <c r="BD54" s="17"/>
    </row>
    <row r="55" ht="15.75" customHeight="1">
      <c r="A55" s="197"/>
      <c r="B55" s="270">
        <v>8</v>
      </c>
      <c r="C55" t="s" s="276">
        <v>69</v>
      </c>
      <c r="D55" s="277" cm="1">
        <f t="array" ref="D55">SUM(W15:AA15)</f>
        <v>6708.71</v>
      </c>
      <c r="E55" s="277" cm="1">
        <f t="array" ref="E55">SUM(AB15:AH15)</f>
        <v>15475.65</v>
      </c>
      <c r="F55" s="277" cm="1">
        <f t="array" ref="F55">SUM(AI15:AO15)</f>
        <v>13763.55</v>
      </c>
      <c r="G55" s="277" cm="1">
        <f t="array" ref="G55">SUM(AP15:AV15)</f>
        <v>14986.93</v>
      </c>
      <c r="H55" s="277" cm="1">
        <f t="array" ref="H55">SUM(AW15:AZ15)</f>
        <v>11010.52</v>
      </c>
      <c r="I55" s="278" cm="1">
        <f t="array" ref="I55">SUM(D55:H55)</f>
        <v>61945.36</v>
      </c>
      <c r="J55" s="133"/>
      <c r="K55" s="231"/>
      <c r="L55" s="231"/>
      <c r="M55" s="13"/>
      <c r="N55" s="13"/>
      <c r="O55" s="13"/>
      <c r="P55" s="13"/>
      <c r="Q55" s="13"/>
      <c r="R55" s="13"/>
      <c r="S55" s="13"/>
      <c r="T55" s="111"/>
      <c r="U55" s="194" cm="1">
        <f t="array" ref="U55">U54+1</f>
        <v>7</v>
      </c>
      <c r="V55" t="str" s="186" cm="1">
        <f t="array" ref="V55">V45</f>
        <v>Velocity</v>
      </c>
      <c r="W55" s="118" cm="1">
        <f t="array" ref="W55">I28</f>
        <v>83.3333325</v>
      </c>
      <c r="X55" s="118" cm="1">
        <f t="array" ref="X55">W55</f>
        <v>83.3333325</v>
      </c>
      <c r="Y55" s="118" cm="1">
        <f t="array" ref="Y55">X55</f>
        <v>83.3333325</v>
      </c>
      <c r="Z55" s="118" cm="1">
        <f t="array" ref="Z55">Y55</f>
        <v>83.3333325</v>
      </c>
      <c r="AA55" s="118" cm="1">
        <f t="array" ref="AA55">Z55</f>
        <v>83.3333325</v>
      </c>
      <c r="AB55" s="118" cm="1">
        <f t="array" ref="AB55">AA55</f>
        <v>83.3333325</v>
      </c>
      <c r="AC55" s="118" cm="1">
        <f t="array" ref="AC55">AB55</f>
        <v>83.3333325</v>
      </c>
      <c r="AD55" s="118" cm="1">
        <f t="array" ref="AD55">AC55</f>
        <v>83.3333325</v>
      </c>
      <c r="AE55" s="118" cm="1">
        <f t="array" ref="AE55">AD55</f>
        <v>83.3333325</v>
      </c>
      <c r="AF55" s="118" cm="1">
        <f t="array" ref="AF55">AE55</f>
        <v>83.3333325</v>
      </c>
      <c r="AG55" s="118" cm="1">
        <f t="array" ref="AG55">AF55</f>
        <v>83.3333325</v>
      </c>
      <c r="AH55" s="118" cm="1">
        <f t="array" ref="AH55">AG55</f>
        <v>83.3333325</v>
      </c>
      <c r="AI55" s="118" cm="1">
        <f t="array" ref="AI55">AH55</f>
        <v>83.3333325</v>
      </c>
      <c r="AJ55" s="118" cm="1">
        <f t="array" ref="AJ55">AI55</f>
        <v>83.3333325</v>
      </c>
      <c r="AK55" s="118" cm="1">
        <f t="array" ref="AK55">AJ55</f>
        <v>83.3333325</v>
      </c>
      <c r="AL55" s="118" cm="1">
        <f t="array" ref="AL55">AK55</f>
        <v>83.3333325</v>
      </c>
      <c r="AM55" s="118" cm="1">
        <f t="array" ref="AM55">AL55</f>
        <v>83.3333325</v>
      </c>
      <c r="AN55" s="118" cm="1">
        <f t="array" ref="AN55">AM55</f>
        <v>83.3333325</v>
      </c>
      <c r="AO55" s="118" cm="1">
        <f t="array" ref="AO55">AN55</f>
        <v>83.3333325</v>
      </c>
      <c r="AP55" s="118" cm="1">
        <f t="array" ref="AP55">AO55</f>
        <v>83.3333325</v>
      </c>
      <c r="AQ55" s="118" cm="1">
        <f t="array" ref="AQ55">AP55</f>
        <v>83.3333325</v>
      </c>
      <c r="AR55" s="118" cm="1">
        <f t="array" ref="AR55">AQ55</f>
        <v>83.3333325</v>
      </c>
      <c r="AS55" s="118" cm="1">
        <f t="array" ref="AS55">AR55</f>
        <v>83.3333325</v>
      </c>
      <c r="AT55" s="118" cm="1">
        <f t="array" ref="AT55">AS55</f>
        <v>83.3333325</v>
      </c>
      <c r="AU55" s="118" cm="1">
        <f t="array" ref="AU55">AT55</f>
        <v>83.3333325</v>
      </c>
      <c r="AV55" s="118" cm="1">
        <f t="array" ref="AV55">AU55</f>
        <v>83.3333325</v>
      </c>
      <c r="AW55" s="118" cm="1">
        <f t="array" ref="AW55">AV55</f>
        <v>83.3333325</v>
      </c>
      <c r="AX55" s="118" cm="1">
        <f t="array" ref="AX55">AW55</f>
        <v>83.3333325</v>
      </c>
      <c r="AY55" s="118" cm="1">
        <f t="array" ref="AY55">AX55</f>
        <v>83.3333325</v>
      </c>
      <c r="AZ55" s="118" cm="1">
        <f t="array" ref="AZ55">AY55</f>
        <v>83.3333325</v>
      </c>
      <c r="BA55" s="13"/>
      <c r="BB55" s="13"/>
      <c r="BC55" s="13"/>
      <c r="BD55" s="17"/>
    </row>
    <row r="56" ht="15.75" customHeight="1">
      <c r="A56" s="197"/>
      <c r="B56" s="270">
        <v>9</v>
      </c>
      <c r="C56" t="s" s="276">
        <v>70</v>
      </c>
      <c r="D56" s="277" cm="1">
        <f t="array" ref="D56">SUM(W16:AA16)</f>
        <v>3645.75</v>
      </c>
      <c r="E56" s="277" cm="1">
        <f t="array" ref="E56">SUM(AB16:AH16)</f>
        <v>4893.94</v>
      </c>
      <c r="F56" s="277" cm="1">
        <f t="array" ref="F56">SUM(AI16:AO16)</f>
        <v>5209.05</v>
      </c>
      <c r="G56" s="277" cm="1">
        <f t="array" ref="G56">SUM(AP16:AV16)</f>
        <v>6648.03</v>
      </c>
      <c r="H56" s="277" cm="1">
        <f t="array" ref="H56">SUM(AW16:AZ16)</f>
        <v>5432.75</v>
      </c>
      <c r="I56" s="278" cm="1">
        <f t="array" ref="I56">SUM(D56:H56)</f>
        <v>25829.52</v>
      </c>
      <c r="J56" s="133"/>
      <c r="K56" s="231"/>
      <c r="L56" s="231"/>
      <c r="M56" s="281"/>
      <c r="N56" s="282"/>
      <c r="O56" s="282"/>
      <c r="P56" s="282"/>
      <c r="Q56" s="282"/>
      <c r="R56" s="282"/>
      <c r="S56" s="110"/>
      <c r="T56" s="111"/>
      <c r="U56" s="194" cm="1">
        <f t="array" ref="U56">U55+1</f>
        <v>8</v>
      </c>
      <c r="V56" t="str" s="186" cm="1">
        <f t="array" ref="V56">V46</f>
        <v>Lagoa Azul</v>
      </c>
      <c r="W56" s="118" cm="1">
        <f t="array" ref="W56">I29</f>
        <v>62.49999975</v>
      </c>
      <c r="X56" s="118" cm="1">
        <f t="array" ref="X56">W56</f>
        <v>62.49999975</v>
      </c>
      <c r="Y56" s="118" cm="1">
        <f t="array" ref="Y56">X56</f>
        <v>62.49999975</v>
      </c>
      <c r="Z56" s="118" cm="1">
        <f t="array" ref="Z56">Y56</f>
        <v>62.49999975</v>
      </c>
      <c r="AA56" s="118" cm="1">
        <f t="array" ref="AA56">Z56</f>
        <v>62.49999975</v>
      </c>
      <c r="AB56" s="118" cm="1">
        <f t="array" ref="AB56">AA56</f>
        <v>62.49999975</v>
      </c>
      <c r="AC56" s="118" cm="1">
        <f t="array" ref="AC56">AB56</f>
        <v>62.49999975</v>
      </c>
      <c r="AD56" s="118" cm="1">
        <f t="array" ref="AD56">AC56</f>
        <v>62.49999975</v>
      </c>
      <c r="AE56" s="118" cm="1">
        <f t="array" ref="AE56">AD56</f>
        <v>62.49999975</v>
      </c>
      <c r="AF56" s="118" cm="1">
        <f t="array" ref="AF56">AE56</f>
        <v>62.49999975</v>
      </c>
      <c r="AG56" s="118" cm="1">
        <f t="array" ref="AG56">AF56</f>
        <v>62.49999975</v>
      </c>
      <c r="AH56" s="118" cm="1">
        <f t="array" ref="AH56">AG56</f>
        <v>62.49999975</v>
      </c>
      <c r="AI56" s="118" cm="1">
        <f t="array" ref="AI56">AH56</f>
        <v>62.49999975</v>
      </c>
      <c r="AJ56" s="118" cm="1">
        <f t="array" ref="AJ56">AI56</f>
        <v>62.49999975</v>
      </c>
      <c r="AK56" s="118" cm="1">
        <f t="array" ref="AK56">AJ56</f>
        <v>62.49999975</v>
      </c>
      <c r="AL56" s="118" cm="1">
        <f t="array" ref="AL56">AK56</f>
        <v>62.49999975</v>
      </c>
      <c r="AM56" s="118" cm="1">
        <f t="array" ref="AM56">AL56</f>
        <v>62.49999975</v>
      </c>
      <c r="AN56" s="118" cm="1">
        <f t="array" ref="AN56">AM56</f>
        <v>62.49999975</v>
      </c>
      <c r="AO56" s="118" cm="1">
        <f t="array" ref="AO56">AN56</f>
        <v>62.49999975</v>
      </c>
      <c r="AP56" s="118" cm="1">
        <f t="array" ref="AP56">AO56</f>
        <v>62.49999975</v>
      </c>
      <c r="AQ56" s="118" cm="1">
        <f t="array" ref="AQ56">AP56</f>
        <v>62.49999975</v>
      </c>
      <c r="AR56" s="118" cm="1">
        <f t="array" ref="AR56">AQ56</f>
        <v>62.49999975</v>
      </c>
      <c r="AS56" s="118" cm="1">
        <f t="array" ref="AS56">AR56</f>
        <v>62.49999975</v>
      </c>
      <c r="AT56" s="118" cm="1">
        <f t="array" ref="AT56">AS56</f>
        <v>62.49999975</v>
      </c>
      <c r="AU56" s="118" cm="1">
        <f t="array" ref="AU56">AT56</f>
        <v>62.49999975</v>
      </c>
      <c r="AV56" s="118" cm="1">
        <f t="array" ref="AV56">AU56</f>
        <v>62.49999975</v>
      </c>
      <c r="AW56" s="118" cm="1">
        <f t="array" ref="AW56">AV56</f>
        <v>62.49999975</v>
      </c>
      <c r="AX56" s="118" cm="1">
        <f t="array" ref="AX56">AW56</f>
        <v>62.49999975</v>
      </c>
      <c r="AY56" s="118" cm="1">
        <f t="array" ref="AY56">AX56</f>
        <v>62.49999975</v>
      </c>
      <c r="AZ56" s="118" cm="1">
        <f t="array" ref="AZ56">AY56</f>
        <v>62.49999975</v>
      </c>
      <c r="BA56" s="13"/>
      <c r="BB56" s="13"/>
      <c r="BC56" s="13"/>
      <c r="BD56" s="17"/>
    </row>
    <row r="57" ht="15.75" customHeight="1">
      <c r="A57" s="12"/>
      <c r="B57" s="120"/>
      <c r="C57" s="120"/>
      <c r="D57" s="13"/>
      <c r="E57" s="13"/>
      <c r="F57" s="13"/>
      <c r="G57" s="13"/>
      <c r="H57" s="13"/>
      <c r="I57" s="13"/>
      <c r="J57" s="13"/>
      <c r="K57" s="281"/>
      <c r="L57" s="282"/>
      <c r="M57" s="110"/>
      <c r="N57" s="13"/>
      <c r="O57" s="13"/>
      <c r="P57" s="13"/>
      <c r="Q57" s="13"/>
      <c r="R57" s="13"/>
      <c r="S57" s="13"/>
      <c r="T57" s="111"/>
      <c r="U57" s="194" cm="1">
        <f t="array" ref="U57">U56+1</f>
        <v>9</v>
      </c>
      <c r="V57" t="str" s="186" cm="1">
        <f t="array" ref="V57">V47</f>
        <v>Maison</v>
      </c>
      <c r="W57" s="118" cm="1">
        <f t="array" ref="W57">I30</f>
        <v>16.5</v>
      </c>
      <c r="X57" s="118" cm="1">
        <f t="array" ref="X57">W57</f>
        <v>16.5</v>
      </c>
      <c r="Y57" s="118" cm="1">
        <f t="array" ref="Y57">X57</f>
        <v>16.5</v>
      </c>
      <c r="Z57" s="118" cm="1">
        <f t="array" ref="Z57">Y57</f>
        <v>16.5</v>
      </c>
      <c r="AA57" s="118" cm="1">
        <f t="array" ref="AA57">Z57</f>
        <v>16.5</v>
      </c>
      <c r="AB57" s="118" cm="1">
        <f t="array" ref="AB57">AA57</f>
        <v>16.5</v>
      </c>
      <c r="AC57" s="118" cm="1">
        <f t="array" ref="AC57">AB57</f>
        <v>16.5</v>
      </c>
      <c r="AD57" s="118" cm="1">
        <f t="array" ref="AD57">AC57</f>
        <v>16.5</v>
      </c>
      <c r="AE57" s="118" cm="1">
        <f t="array" ref="AE57">AD57</f>
        <v>16.5</v>
      </c>
      <c r="AF57" s="118" cm="1">
        <f t="array" ref="AF57">AE57</f>
        <v>16.5</v>
      </c>
      <c r="AG57" s="118" cm="1">
        <f t="array" ref="AG57">AF57</f>
        <v>16.5</v>
      </c>
      <c r="AH57" s="118" cm="1">
        <f t="array" ref="AH57">AG57</f>
        <v>16.5</v>
      </c>
      <c r="AI57" s="118" cm="1">
        <f t="array" ref="AI57">AH57</f>
        <v>16.5</v>
      </c>
      <c r="AJ57" s="118" cm="1">
        <f t="array" ref="AJ57">AI57</f>
        <v>16.5</v>
      </c>
      <c r="AK57" s="118" cm="1">
        <f t="array" ref="AK57">AJ57</f>
        <v>16.5</v>
      </c>
      <c r="AL57" s="118" cm="1">
        <f t="array" ref="AL57">AK57</f>
        <v>16.5</v>
      </c>
      <c r="AM57" s="118" cm="1">
        <f t="array" ref="AM57">AL57</f>
        <v>16.5</v>
      </c>
      <c r="AN57" s="118" cm="1">
        <f t="array" ref="AN57">AM57</f>
        <v>16.5</v>
      </c>
      <c r="AO57" s="118" cm="1">
        <f t="array" ref="AO57">AN57</f>
        <v>16.5</v>
      </c>
      <c r="AP57" s="118" cm="1">
        <f t="array" ref="AP57">AO57</f>
        <v>16.5</v>
      </c>
      <c r="AQ57" s="118" cm="1">
        <f t="array" ref="AQ57">AP57</f>
        <v>16.5</v>
      </c>
      <c r="AR57" s="118" cm="1">
        <f t="array" ref="AR57">AQ57</f>
        <v>16.5</v>
      </c>
      <c r="AS57" s="118" cm="1">
        <f t="array" ref="AS57">AR57</f>
        <v>16.5</v>
      </c>
      <c r="AT57" s="118" cm="1">
        <f t="array" ref="AT57">AS57</f>
        <v>16.5</v>
      </c>
      <c r="AU57" s="118" cm="1">
        <f t="array" ref="AU57">AT57</f>
        <v>16.5</v>
      </c>
      <c r="AV57" s="118" cm="1">
        <f t="array" ref="AV57">AU57</f>
        <v>16.5</v>
      </c>
      <c r="AW57" s="118" cm="1">
        <f t="array" ref="AW57">AV57</f>
        <v>16.5</v>
      </c>
      <c r="AX57" s="118" cm="1">
        <f t="array" ref="AX57">AW57</f>
        <v>16.5</v>
      </c>
      <c r="AY57" s="118" cm="1">
        <f t="array" ref="AY57">AX57</f>
        <v>16.5</v>
      </c>
      <c r="AZ57" s="118" cm="1">
        <f t="array" ref="AZ57">AY57</f>
        <v>16.5</v>
      </c>
      <c r="BA57" s="13"/>
      <c r="BB57" s="13"/>
      <c r="BC57" s="13"/>
      <c r="BD57" s="17"/>
    </row>
    <row r="58" ht="15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281"/>
      <c r="L58" s="282"/>
      <c r="M58" s="110"/>
      <c r="N58" s="13"/>
      <c r="O58" s="13"/>
      <c r="P58" s="13"/>
      <c r="Q58" s="13"/>
      <c r="R58" s="13"/>
      <c r="S58" s="13"/>
      <c r="T58" s="13"/>
      <c r="U58" s="10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7"/>
    </row>
    <row r="59" ht="15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283"/>
      <c r="L59" s="279"/>
      <c r="M59" s="13"/>
      <c r="N59" s="13"/>
      <c r="O59" s="13"/>
      <c r="P59" s="13"/>
      <c r="Q59" s="13"/>
      <c r="R59" s="13"/>
      <c r="S59" s="13"/>
      <c r="T59" s="111"/>
      <c r="U59" s="194">
        <v>1</v>
      </c>
      <c r="V59" t="s" s="237">
        <v>169</v>
      </c>
      <c r="W59" s="231" cm="1">
        <f t="array" ref="W59">AVERAGE(W39:AZ39)</f>
      </c>
      <c r="X59" s="196" cm="1">
        <f t="array" ref="X59">W59</f>
      </c>
      <c r="Y59" s="196" cm="1">
        <f t="array" ref="Y59">X59</f>
      </c>
      <c r="Z59" s="196" cm="1">
        <f t="array" ref="Z59">Y59</f>
      </c>
      <c r="AA59" s="196" cm="1">
        <f t="array" ref="AA59">Z59</f>
      </c>
      <c r="AB59" s="196" cm="1">
        <f t="array" ref="AB59">AA59</f>
      </c>
      <c r="AC59" s="196" cm="1">
        <f t="array" ref="AC59">AB59</f>
      </c>
      <c r="AD59" s="196" cm="1">
        <f t="array" ref="AD59">AC59</f>
      </c>
      <c r="AE59" s="196" cm="1">
        <f t="array" ref="AE59">AD59</f>
      </c>
      <c r="AF59" s="196" cm="1">
        <f t="array" ref="AF59">AE59</f>
      </c>
      <c r="AG59" s="196" cm="1">
        <f t="array" ref="AG59">AF59</f>
      </c>
      <c r="AH59" s="196" cm="1">
        <f t="array" ref="AH59">AG59</f>
      </c>
      <c r="AI59" s="196" cm="1">
        <f t="array" ref="AI59">AH59</f>
      </c>
      <c r="AJ59" s="196" cm="1">
        <f t="array" ref="AJ59">AI59</f>
      </c>
      <c r="AK59" s="196" cm="1">
        <f t="array" ref="AK59">AJ59</f>
      </c>
      <c r="AL59" s="196" cm="1">
        <f t="array" ref="AL59">AK59</f>
      </c>
      <c r="AM59" s="196" cm="1">
        <f t="array" ref="AM59">AL59</f>
      </c>
      <c r="AN59" s="196" cm="1">
        <f t="array" ref="AN59">AM59</f>
      </c>
      <c r="AO59" s="196" cm="1">
        <f t="array" ref="AO59">AN59</f>
      </c>
      <c r="AP59" s="196" cm="1">
        <f t="array" ref="AP59">AO59</f>
      </c>
      <c r="AQ59" s="196" cm="1">
        <f t="array" ref="AQ59">AP59</f>
      </c>
      <c r="AR59" s="196" cm="1">
        <f t="array" ref="AR59">AQ59</f>
      </c>
      <c r="AS59" s="196" cm="1">
        <f t="array" ref="AS59">AR59</f>
      </c>
      <c r="AT59" s="196" cm="1">
        <f t="array" ref="AT59">AS59</f>
      </c>
      <c r="AU59" s="196" cm="1">
        <f t="array" ref="AU59">AT59</f>
      </c>
      <c r="AV59" s="196" cm="1">
        <f t="array" ref="AV59">AU59</f>
      </c>
      <c r="AW59" s="196" cm="1">
        <f t="array" ref="AW59">AV59</f>
      </c>
      <c r="AX59" s="196" cm="1">
        <f t="array" ref="AX59">AW59</f>
      </c>
      <c r="AY59" s="196" cm="1">
        <f t="array" ref="AY59">AX59</f>
      </c>
      <c r="AZ59" s="196" cm="1">
        <f t="array" ref="AZ59">AY59</f>
      </c>
      <c r="BA59" s="13"/>
      <c r="BB59" s="13"/>
      <c r="BC59" s="13"/>
      <c r="BD59" s="17"/>
    </row>
    <row r="60" ht="15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1"/>
      <c r="L60" s="279"/>
      <c r="M60" s="13"/>
      <c r="N60" s="13"/>
      <c r="O60" s="13"/>
      <c r="P60" s="13"/>
      <c r="Q60" s="13"/>
      <c r="R60" s="13"/>
      <c r="S60" s="13"/>
      <c r="T60" s="111"/>
      <c r="U60" s="194" cm="1">
        <f t="array" ref="U60">U59+1</f>
        <v>2</v>
      </c>
      <c r="V60" t="str" s="186" cm="1">
        <f t="array" ref="V60">V50</f>
        <v>Rio Mar Restaurante</v>
      </c>
      <c r="W60" s="231" cm="1">
        <f t="array" ref="W60">AVERAGE(W40:AZ40)</f>
      </c>
      <c r="X60" s="231" cm="1">
        <f t="array" ref="X60">W60</f>
      </c>
      <c r="Y60" s="231" cm="1">
        <f t="array" ref="Y60">X60</f>
      </c>
      <c r="Z60" s="231" cm="1">
        <f t="array" ref="Z60">Y60</f>
      </c>
      <c r="AA60" s="231" cm="1">
        <f t="array" ref="AA60">Z60</f>
      </c>
      <c r="AB60" s="231" cm="1">
        <f t="array" ref="AB60">AA60</f>
      </c>
      <c r="AC60" s="231" cm="1">
        <f t="array" ref="AC60">AB60</f>
      </c>
      <c r="AD60" s="231" cm="1">
        <f t="array" ref="AD60">AC60</f>
      </c>
      <c r="AE60" s="231" cm="1">
        <f t="array" ref="AE60">AD60</f>
      </c>
      <c r="AF60" s="231" cm="1">
        <f t="array" ref="AF60">AE60</f>
      </c>
      <c r="AG60" s="231" cm="1">
        <f t="array" ref="AG60">AF60</f>
      </c>
      <c r="AH60" s="231" cm="1">
        <f t="array" ref="AH60">AG60</f>
      </c>
      <c r="AI60" s="231" cm="1">
        <f t="array" ref="AI60">AH60</f>
      </c>
      <c r="AJ60" s="231" cm="1">
        <f t="array" ref="AJ60">AI60</f>
      </c>
      <c r="AK60" s="231" cm="1">
        <f t="array" ref="AK60">AJ60</f>
      </c>
      <c r="AL60" s="231" cm="1">
        <f t="array" ref="AL60">AK60</f>
      </c>
      <c r="AM60" s="231" cm="1">
        <f t="array" ref="AM60">AL60</f>
      </c>
      <c r="AN60" s="231" cm="1">
        <f t="array" ref="AN60">AM60</f>
      </c>
      <c r="AO60" s="231" cm="1">
        <f t="array" ref="AO60">AN60</f>
      </c>
      <c r="AP60" s="231" cm="1">
        <f t="array" ref="AP60">AO60</f>
      </c>
      <c r="AQ60" s="231" cm="1">
        <f t="array" ref="AQ60">AP60</f>
      </c>
      <c r="AR60" s="231" cm="1">
        <f t="array" ref="AR60">AQ60</f>
      </c>
      <c r="AS60" s="231" cm="1">
        <f t="array" ref="AS60">AR60</f>
      </c>
      <c r="AT60" s="231" cm="1">
        <f t="array" ref="AT60">AS60</f>
      </c>
      <c r="AU60" s="231" cm="1">
        <f t="array" ref="AU60">AT60</f>
      </c>
      <c r="AV60" s="231" cm="1">
        <f t="array" ref="AV60">AU60</f>
      </c>
      <c r="AW60" s="231" cm="1">
        <f t="array" ref="AW60">AV60</f>
      </c>
      <c r="AX60" s="231" cm="1">
        <f t="array" ref="AX60">AW60</f>
      </c>
      <c r="AY60" s="231" cm="1">
        <f t="array" ref="AY60">AX60</f>
      </c>
      <c r="AZ60" s="231" cm="1">
        <f t="array" ref="AZ60">AY60</f>
      </c>
      <c r="BA60" s="13"/>
      <c r="BB60" s="13"/>
      <c r="BC60" s="13"/>
      <c r="BD60" s="17"/>
    </row>
    <row r="61" ht="15.75" customHeight="1">
      <c r="A61" s="12"/>
      <c r="B61" s="13"/>
      <c r="C61" s="13"/>
      <c r="D61" t="s" s="284">
        <v>87</v>
      </c>
      <c r="E61" s="285"/>
      <c r="F61" s="285"/>
      <c r="G61" s="285"/>
      <c r="H61" s="285"/>
      <c r="I61" s="285"/>
      <c r="J61" s="285"/>
      <c r="K61" s="141"/>
      <c r="L61" s="279"/>
      <c r="M61" s="13"/>
      <c r="N61" s="13"/>
      <c r="O61" s="13"/>
      <c r="P61" s="13"/>
      <c r="Q61" s="13"/>
      <c r="R61" s="13"/>
      <c r="S61" s="13"/>
      <c r="T61" s="111"/>
      <c r="U61" s="194" cm="1">
        <f t="array" ref="U61">U60+1</f>
        <v>3</v>
      </c>
      <c r="V61" t="str" s="186" cm="1">
        <f t="array" ref="V61">V51</f>
        <v>Rio Mar Mercado</v>
      </c>
      <c r="W61" s="231" cm="1">
        <f t="array" ref="W61">AVERAGE(W41:AZ41)</f>
      </c>
      <c r="X61" s="231" cm="1">
        <f t="array" ref="X61">W61</f>
      </c>
      <c r="Y61" s="231" cm="1">
        <f t="array" ref="Y61">X61</f>
      </c>
      <c r="Z61" s="231" cm="1">
        <f t="array" ref="Z61">Y61</f>
      </c>
      <c r="AA61" s="231" cm="1">
        <f t="array" ref="AA61">Z61</f>
      </c>
      <c r="AB61" s="231" cm="1">
        <f t="array" ref="AB61">AA61</f>
      </c>
      <c r="AC61" s="231" cm="1">
        <f t="array" ref="AC61">AB61</f>
      </c>
      <c r="AD61" s="231" cm="1">
        <f t="array" ref="AD61">AC61</f>
      </c>
      <c r="AE61" s="231" cm="1">
        <f t="array" ref="AE61">AD61</f>
      </c>
      <c r="AF61" s="231" cm="1">
        <f t="array" ref="AF61">AE61</f>
      </c>
      <c r="AG61" s="231" cm="1">
        <f t="array" ref="AG61">AF61</f>
      </c>
      <c r="AH61" s="231" cm="1">
        <f t="array" ref="AH61">AG61</f>
      </c>
      <c r="AI61" s="231" cm="1">
        <f t="array" ref="AI61">AH61</f>
      </c>
      <c r="AJ61" s="231" cm="1">
        <f t="array" ref="AJ61">AI61</f>
      </c>
      <c r="AK61" s="231" cm="1">
        <f t="array" ref="AK61">AJ61</f>
      </c>
      <c r="AL61" s="231" cm="1">
        <f t="array" ref="AL61">AK61</f>
      </c>
      <c r="AM61" s="231" cm="1">
        <f t="array" ref="AM61">AL61</f>
      </c>
      <c r="AN61" s="231" cm="1">
        <f t="array" ref="AN61">AM61</f>
      </c>
      <c r="AO61" s="231" cm="1">
        <f t="array" ref="AO61">AN61</f>
      </c>
      <c r="AP61" s="231" cm="1">
        <f t="array" ref="AP61">AO61</f>
      </c>
      <c r="AQ61" s="231" cm="1">
        <f t="array" ref="AQ61">AP61</f>
      </c>
      <c r="AR61" s="231" cm="1">
        <f t="array" ref="AR61">AQ61</f>
      </c>
      <c r="AS61" s="231" cm="1">
        <f t="array" ref="AS61">AR61</f>
      </c>
      <c r="AT61" s="231" cm="1">
        <f t="array" ref="AT61">AS61</f>
      </c>
      <c r="AU61" s="231" cm="1">
        <f t="array" ref="AU61">AT61</f>
      </c>
      <c r="AV61" s="231" cm="1">
        <f t="array" ref="AV61">AU61</f>
      </c>
      <c r="AW61" s="231" cm="1">
        <f t="array" ref="AW61">AV61</f>
      </c>
      <c r="AX61" s="231" cm="1">
        <f t="array" ref="AX61">AW61</f>
      </c>
      <c r="AY61" s="231" cm="1">
        <f t="array" ref="AY61">AX61</f>
      </c>
      <c r="AZ61" s="231" cm="1">
        <f t="array" ref="AZ61">AY61</f>
      </c>
      <c r="BA61" s="13"/>
      <c r="BB61" s="13"/>
      <c r="BC61" s="13"/>
      <c r="BD61" s="17"/>
    </row>
    <row r="62" ht="15.75" customHeight="1">
      <c r="A62" s="12"/>
      <c r="B62" s="47"/>
      <c r="C62" s="13"/>
      <c r="D62" s="285"/>
      <c r="E62" s="285"/>
      <c r="F62" s="285"/>
      <c r="G62" s="285"/>
      <c r="H62" s="285"/>
      <c r="I62" s="286"/>
      <c r="J62" s="287"/>
      <c r="K62" s="13"/>
      <c r="L62" s="279"/>
      <c r="M62" s="13"/>
      <c r="N62" s="13"/>
      <c r="O62" s="13"/>
      <c r="P62" s="13"/>
      <c r="Q62" s="13"/>
      <c r="R62" s="13"/>
      <c r="S62" s="13"/>
      <c r="T62" s="111"/>
      <c r="U62" s="194" cm="1">
        <f t="array" ref="U62">U61+1</f>
        <v>4</v>
      </c>
      <c r="V62" t="str" s="186" cm="1">
        <f t="array" ref="V62">V52</f>
        <v>Paiva</v>
      </c>
      <c r="W62" s="231" cm="1">
        <f t="array" ref="W62">AVERAGE(W42:AZ42)</f>
      </c>
      <c r="X62" s="231" cm="1">
        <f t="array" ref="X62">W62</f>
      </c>
      <c r="Y62" s="231" cm="1">
        <f t="array" ref="Y62">X62</f>
      </c>
      <c r="Z62" s="231" cm="1">
        <f t="array" ref="Z62">Y62</f>
      </c>
      <c r="AA62" s="231" cm="1">
        <f t="array" ref="AA62">Z62</f>
      </c>
      <c r="AB62" s="231" cm="1">
        <f t="array" ref="AB62">AA62</f>
      </c>
      <c r="AC62" s="231" cm="1">
        <f t="array" ref="AC62">AB62</f>
      </c>
      <c r="AD62" s="231" cm="1">
        <f t="array" ref="AD62">AC62</f>
      </c>
      <c r="AE62" s="231" cm="1">
        <f t="array" ref="AE62">AD62</f>
      </c>
      <c r="AF62" s="231" cm="1">
        <f t="array" ref="AF62">AE62</f>
      </c>
      <c r="AG62" s="231" cm="1">
        <f t="array" ref="AG62">AF62</f>
      </c>
      <c r="AH62" s="231" cm="1">
        <f t="array" ref="AH62">AG62</f>
      </c>
      <c r="AI62" s="231" cm="1">
        <f t="array" ref="AI62">AH62</f>
      </c>
      <c r="AJ62" s="231" cm="1">
        <f t="array" ref="AJ62">AI62</f>
      </c>
      <c r="AK62" s="231" cm="1">
        <f t="array" ref="AK62">AJ62</f>
      </c>
      <c r="AL62" s="231" cm="1">
        <f t="array" ref="AL62">AK62</f>
      </c>
      <c r="AM62" s="231" cm="1">
        <f t="array" ref="AM62">AL62</f>
      </c>
      <c r="AN62" s="231" cm="1">
        <f t="array" ref="AN62">AM62</f>
      </c>
      <c r="AO62" s="231" cm="1">
        <f t="array" ref="AO62">AN62</f>
      </c>
      <c r="AP62" s="231" cm="1">
        <f t="array" ref="AP62">AO62</f>
      </c>
      <c r="AQ62" s="231" cm="1">
        <f t="array" ref="AQ62">AP62</f>
      </c>
      <c r="AR62" s="231" cm="1">
        <f t="array" ref="AR62">AQ62</f>
      </c>
      <c r="AS62" s="231" cm="1">
        <f t="array" ref="AS62">AR62</f>
      </c>
      <c r="AT62" s="231" cm="1">
        <f t="array" ref="AT62">AS62</f>
      </c>
      <c r="AU62" s="231" cm="1">
        <f t="array" ref="AU62">AT62</f>
      </c>
      <c r="AV62" s="231" cm="1">
        <f t="array" ref="AV62">AU62</f>
      </c>
      <c r="AW62" s="231" cm="1">
        <f t="array" ref="AW62">AV62</f>
      </c>
      <c r="AX62" s="231" cm="1">
        <f t="array" ref="AX62">AW62</f>
      </c>
      <c r="AY62" s="231" cm="1">
        <f t="array" ref="AY62">AX62</f>
      </c>
      <c r="AZ62" s="231" cm="1">
        <f t="array" ref="AZ62">AY62</f>
      </c>
      <c r="BA62" s="13"/>
      <c r="BB62" s="13"/>
      <c r="BC62" s="13"/>
      <c r="BD62" s="17"/>
    </row>
    <row r="63" ht="15.75" customHeight="1">
      <c r="A63" s="197"/>
      <c r="B63" s="270">
        <v>1</v>
      </c>
      <c r="C63" t="s" s="288">
        <v>100</v>
      </c>
      <c r="D63" t="s" s="123">
        <v>11</v>
      </c>
      <c r="E63" t="s" s="124">
        <v>12</v>
      </c>
      <c r="F63" t="s" s="124">
        <v>13</v>
      </c>
      <c r="G63" t="s" s="124">
        <v>14</v>
      </c>
      <c r="H63" t="s" s="125">
        <v>15</v>
      </c>
      <c r="I63" t="s" s="126">
        <v>176</v>
      </c>
      <c r="J63" t="s" s="127">
        <v>17</v>
      </c>
      <c r="K63" s="13"/>
      <c r="L63" s="279"/>
      <c r="M63" s="13"/>
      <c r="N63" s="13"/>
      <c r="O63" s="13"/>
      <c r="P63" s="13"/>
      <c r="Q63" s="13"/>
      <c r="R63" s="13"/>
      <c r="S63" s="13"/>
      <c r="T63" s="111"/>
      <c r="U63" s="194" cm="1">
        <f t="array" ref="U63">U62+1</f>
        <v>5</v>
      </c>
      <c r="V63" t="str" s="186" cm="1">
        <f t="array" ref="V63">V53</f>
        <v>Delivery</v>
      </c>
      <c r="W63" s="231" cm="1">
        <f t="array" ref="W63">AVERAGE(W43:AZ43)</f>
      </c>
      <c r="X63" s="231" cm="1">
        <f t="array" ref="X63">W63</f>
      </c>
      <c r="Y63" s="231" cm="1">
        <f t="array" ref="Y63">X63</f>
      </c>
      <c r="Z63" s="231" cm="1">
        <f t="array" ref="Z63">Y63</f>
      </c>
      <c r="AA63" s="231" cm="1">
        <f t="array" ref="AA63">Z63</f>
      </c>
      <c r="AB63" s="231" cm="1">
        <f t="array" ref="AB63">AA63</f>
      </c>
      <c r="AC63" s="231" cm="1">
        <f t="array" ref="AC63">AB63</f>
      </c>
      <c r="AD63" s="231" cm="1">
        <f t="array" ref="AD63">AC63</f>
      </c>
      <c r="AE63" s="231" cm="1">
        <f t="array" ref="AE63">AD63</f>
      </c>
      <c r="AF63" s="231" cm="1">
        <f t="array" ref="AF63">AE63</f>
      </c>
      <c r="AG63" s="231" cm="1">
        <f t="array" ref="AG63">AF63</f>
      </c>
      <c r="AH63" s="231" cm="1">
        <f t="array" ref="AH63">AG63</f>
      </c>
      <c r="AI63" s="231" cm="1">
        <f t="array" ref="AI63">AH63</f>
      </c>
      <c r="AJ63" s="231" cm="1">
        <f t="array" ref="AJ63">AI63</f>
      </c>
      <c r="AK63" s="231" cm="1">
        <f t="array" ref="AK63">AJ63</f>
      </c>
      <c r="AL63" s="231" cm="1">
        <f t="array" ref="AL63">AK63</f>
      </c>
      <c r="AM63" s="231" cm="1">
        <f t="array" ref="AM63">AL63</f>
      </c>
      <c r="AN63" s="231" cm="1">
        <f t="array" ref="AN63">AM63</f>
      </c>
      <c r="AO63" s="231" cm="1">
        <f t="array" ref="AO63">AN63</f>
      </c>
      <c r="AP63" s="231" cm="1">
        <f t="array" ref="AP63">AO63</f>
      </c>
      <c r="AQ63" s="231" cm="1">
        <f t="array" ref="AQ63">AP63</f>
      </c>
      <c r="AR63" s="231" cm="1">
        <f t="array" ref="AR63">AQ63</f>
      </c>
      <c r="AS63" s="231" cm="1">
        <f t="array" ref="AS63">AR63</f>
      </c>
      <c r="AT63" s="231" cm="1">
        <f t="array" ref="AT63">AS63</f>
      </c>
      <c r="AU63" s="231" cm="1">
        <f t="array" ref="AU63">AT63</f>
      </c>
      <c r="AV63" s="231" cm="1">
        <f t="array" ref="AV63">AU63</f>
      </c>
      <c r="AW63" s="231" cm="1">
        <f t="array" ref="AW63">AV63</f>
      </c>
      <c r="AX63" s="231" cm="1">
        <f t="array" ref="AX63">AW63</f>
      </c>
      <c r="AY63" s="231" cm="1">
        <f t="array" ref="AY63">AX63</f>
      </c>
      <c r="AZ63" s="231" cm="1">
        <f t="array" ref="AZ63">AY63</f>
      </c>
      <c r="BA63" s="13"/>
      <c r="BB63" s="13"/>
      <c r="BC63" s="13"/>
      <c r="BD63" s="17"/>
    </row>
    <row r="64" ht="15.75" customHeight="1">
      <c r="A64" s="12"/>
      <c r="B64" s="120"/>
      <c r="C64" s="13"/>
      <c r="D64" s="128" cm="1">
        <f t="array" ref="D64">_xlfn.AVERAGEIF($W$6:$AZ$6,D63,$W$8:$AZ$8)</f>
        <v>40069.67</v>
      </c>
      <c r="E64" s="129" cm="1">
        <f t="array" ref="E64">_xlfn.AVERAGEIF($W$6:$AZ$6,E63,$W$8:$AZ$8)</f>
        <v>45484.837</v>
      </c>
      <c r="F64" s="129" cm="1">
        <f t="array" ref="F64">_xlfn.AVERAGEIF($W$6:$AZ$6,F63,$W$8:$AZ$8)</f>
        <v>49500.404</v>
      </c>
      <c r="G64" s="129" cm="1">
        <f t="array" ref="G64">_xlfn.AVERAGEIF($W$6:$AZ$6,G63,$W$8:$AZ$8)</f>
        <v>56519.928</v>
      </c>
      <c r="H64" s="129" cm="1">
        <f t="array" ref="H64">_xlfn.AVERAGEIF($W$6:$AZ$6,H63,$W$8:$AZ$8)</f>
        <v>51190.355</v>
      </c>
      <c r="I64" s="130" cm="1">
        <f t="array" ref="I64">_xlfn.AVERAGEIF($W$6:$AZ$6,I63,$W$8:$AZ$8)</f>
        <v>59549.325</v>
      </c>
      <c r="J64" s="131" cm="1">
        <f t="array" ref="J64">_xlfn.AVERAGEIF($W$6:$AZ$6,J63,$W$8:$AZ$8)</f>
        <v>47994.3075</v>
      </c>
      <c r="K64" s="13"/>
      <c r="L64" s="279"/>
      <c r="M64" s="13"/>
      <c r="N64" s="13"/>
      <c r="O64" s="13"/>
      <c r="P64" s="13"/>
      <c r="Q64" s="13"/>
      <c r="R64" s="13"/>
      <c r="S64" s="13"/>
      <c r="T64" s="111"/>
      <c r="U64" s="194" cm="1">
        <f t="array" ref="U64">U63+1</f>
        <v>6</v>
      </c>
      <c r="V64" t="str" s="186" cm="1">
        <f t="array" ref="V64">V54</f>
        <v>Cabanga</v>
      </c>
      <c r="W64" s="231" cm="1">
        <f t="array" ref="W64">AVERAGE(W44:AZ44)</f>
      </c>
      <c r="X64" s="231" cm="1">
        <f t="array" ref="X64">W64</f>
      </c>
      <c r="Y64" s="231" cm="1">
        <f t="array" ref="Y64">X64</f>
      </c>
      <c r="Z64" s="231" cm="1">
        <f t="array" ref="Z64">Y64</f>
      </c>
      <c r="AA64" s="231" cm="1">
        <f t="array" ref="AA64">Z64</f>
      </c>
      <c r="AB64" s="231" cm="1">
        <f t="array" ref="AB64">AA64</f>
      </c>
      <c r="AC64" s="231" cm="1">
        <f t="array" ref="AC64">AB64</f>
      </c>
      <c r="AD64" s="231" cm="1">
        <f t="array" ref="AD64">AC64</f>
      </c>
      <c r="AE64" s="231" cm="1">
        <f t="array" ref="AE64">AD64</f>
      </c>
      <c r="AF64" s="231" cm="1">
        <f t="array" ref="AF64">AE64</f>
      </c>
      <c r="AG64" s="231" cm="1">
        <f t="array" ref="AG64">AF64</f>
      </c>
      <c r="AH64" s="231" cm="1">
        <f t="array" ref="AH64">AG64</f>
      </c>
      <c r="AI64" s="231" cm="1">
        <f t="array" ref="AI64">AH64</f>
      </c>
      <c r="AJ64" s="231" cm="1">
        <f t="array" ref="AJ64">AI64</f>
      </c>
      <c r="AK64" s="231" cm="1">
        <f t="array" ref="AK64">AJ64</f>
      </c>
      <c r="AL64" s="231" cm="1">
        <f t="array" ref="AL64">AK64</f>
      </c>
      <c r="AM64" s="231" cm="1">
        <f t="array" ref="AM64">AL64</f>
      </c>
      <c r="AN64" s="231" cm="1">
        <f t="array" ref="AN64">AM64</f>
      </c>
      <c r="AO64" s="231" cm="1">
        <f t="array" ref="AO64">AN64</f>
      </c>
      <c r="AP64" s="231" cm="1">
        <f t="array" ref="AP64">AO64</f>
      </c>
      <c r="AQ64" s="231" cm="1">
        <f t="array" ref="AQ64">AP64</f>
      </c>
      <c r="AR64" s="231" cm="1">
        <f t="array" ref="AR64">AQ64</f>
      </c>
      <c r="AS64" s="231" cm="1">
        <f t="array" ref="AS64">AR64</f>
      </c>
      <c r="AT64" s="231" cm="1">
        <f t="array" ref="AT64">AS64</f>
      </c>
      <c r="AU64" s="231" cm="1">
        <f t="array" ref="AU64">AT64</f>
      </c>
      <c r="AV64" s="231" cm="1">
        <f t="array" ref="AV64">AU64</f>
      </c>
      <c r="AW64" s="231" cm="1">
        <f t="array" ref="AW64">AV64</f>
      </c>
      <c r="AX64" s="231" cm="1">
        <f t="array" ref="AX64">AW64</f>
      </c>
      <c r="AY64" s="231" cm="1">
        <f t="array" ref="AY64">AX64</f>
      </c>
      <c r="AZ64" s="231" cm="1">
        <f t="array" ref="AZ64">AY64</f>
      </c>
      <c r="BA64" s="13"/>
      <c r="BB64" s="13"/>
      <c r="BC64" s="13"/>
      <c r="BD64" s="17"/>
    </row>
    <row r="65" ht="15.75" customHeight="1">
      <c r="A65" s="12"/>
      <c r="B65" s="47"/>
      <c r="C65" s="47"/>
      <c r="D65" s="133"/>
      <c r="E65" s="133"/>
      <c r="F65" s="133"/>
      <c r="G65" s="133"/>
      <c r="H65" s="133"/>
      <c r="I65" s="134"/>
      <c r="J65" s="133"/>
      <c r="K65" s="166"/>
      <c r="L65" s="289"/>
      <c r="M65" s="13"/>
      <c r="N65" s="13"/>
      <c r="O65" s="13"/>
      <c r="P65" s="13"/>
      <c r="Q65" s="13"/>
      <c r="R65" s="13"/>
      <c r="S65" s="13"/>
      <c r="T65" s="111"/>
      <c r="U65" s="194" cm="1">
        <f t="array" ref="U65">U64+1</f>
        <v>7</v>
      </c>
      <c r="V65" t="str" s="186" cm="1">
        <f t="array" ref="V65">V55</f>
        <v>Velocity</v>
      </c>
      <c r="W65" s="231" cm="1">
        <f t="array" ref="W65">AVERAGE(W45:AZ45)</f>
      </c>
      <c r="X65" s="231" cm="1">
        <f t="array" ref="X65">W65</f>
      </c>
      <c r="Y65" s="231" cm="1">
        <f t="array" ref="Y65">X65</f>
      </c>
      <c r="Z65" s="231" cm="1">
        <f t="array" ref="Z65">Y65</f>
      </c>
      <c r="AA65" s="231" cm="1">
        <f t="array" ref="AA65">Z65</f>
      </c>
      <c r="AB65" s="231" cm="1">
        <f t="array" ref="AB65">AA65</f>
      </c>
      <c r="AC65" s="231" cm="1">
        <f t="array" ref="AC65">AB65</f>
      </c>
      <c r="AD65" s="231" cm="1">
        <f t="array" ref="AD65">AC65</f>
      </c>
      <c r="AE65" s="231" cm="1">
        <f t="array" ref="AE65">AD65</f>
      </c>
      <c r="AF65" s="231" cm="1">
        <f t="array" ref="AF65">AE65</f>
      </c>
      <c r="AG65" s="231" cm="1">
        <f t="array" ref="AG65">AF65</f>
      </c>
      <c r="AH65" s="231" cm="1">
        <f t="array" ref="AH65">AG65</f>
      </c>
      <c r="AI65" s="231" cm="1">
        <f t="array" ref="AI65">AH65</f>
      </c>
      <c r="AJ65" s="231" cm="1">
        <f t="array" ref="AJ65">AI65</f>
      </c>
      <c r="AK65" s="231" cm="1">
        <f t="array" ref="AK65">AJ65</f>
      </c>
      <c r="AL65" s="231" cm="1">
        <f t="array" ref="AL65">AK65</f>
      </c>
      <c r="AM65" s="231" cm="1">
        <f t="array" ref="AM65">AL65</f>
      </c>
      <c r="AN65" s="231" cm="1">
        <f t="array" ref="AN65">AM65</f>
      </c>
      <c r="AO65" s="231" cm="1">
        <f t="array" ref="AO65">AN65</f>
      </c>
      <c r="AP65" s="231" cm="1">
        <f t="array" ref="AP65">AO65</f>
      </c>
      <c r="AQ65" s="231" cm="1">
        <f t="array" ref="AQ65">AP65</f>
      </c>
      <c r="AR65" s="231" cm="1">
        <f t="array" ref="AR65">AQ65</f>
      </c>
      <c r="AS65" s="231" cm="1">
        <f t="array" ref="AS65">AR65</f>
      </c>
      <c r="AT65" s="231" cm="1">
        <f t="array" ref="AT65">AS65</f>
      </c>
      <c r="AU65" s="231" cm="1">
        <f t="array" ref="AU65">AT65</f>
      </c>
      <c r="AV65" s="231" cm="1">
        <f t="array" ref="AV65">AU65</f>
      </c>
      <c r="AW65" s="231" cm="1">
        <f t="array" ref="AW65">AV65</f>
      </c>
      <c r="AX65" s="231" cm="1">
        <f t="array" ref="AX65">AW65</f>
      </c>
      <c r="AY65" s="231" cm="1">
        <f t="array" ref="AY65">AX65</f>
      </c>
      <c r="AZ65" s="231" cm="1">
        <f t="array" ref="AZ65">AY65</f>
      </c>
      <c r="BA65" s="13"/>
      <c r="BB65" s="13"/>
      <c r="BC65" s="13"/>
      <c r="BD65" s="17"/>
    </row>
    <row r="66" ht="15.75" customHeight="1">
      <c r="A66" s="197"/>
      <c r="B66" s="270">
        <v>2</v>
      </c>
      <c r="C66" t="s" s="276">
        <v>62</v>
      </c>
      <c r="D66" t="s" s="123">
        <v>11</v>
      </c>
      <c r="E66" t="s" s="124">
        <v>12</v>
      </c>
      <c r="F66" t="s" s="124">
        <v>13</v>
      </c>
      <c r="G66" t="s" s="124">
        <v>14</v>
      </c>
      <c r="H66" t="s" s="125">
        <v>15</v>
      </c>
      <c r="I66" t="s" s="126">
        <v>176</v>
      </c>
      <c r="J66" t="s" s="136">
        <v>17</v>
      </c>
      <c r="K66" s="141"/>
      <c r="L66" s="279"/>
      <c r="M66" s="13"/>
      <c r="N66" s="13"/>
      <c r="O66" s="13"/>
      <c r="P66" s="13"/>
      <c r="Q66" s="13"/>
      <c r="R66" s="13"/>
      <c r="S66" s="13"/>
      <c r="T66" s="111"/>
      <c r="U66" s="194" cm="1">
        <f t="array" ref="U66">U65+1</f>
        <v>8</v>
      </c>
      <c r="V66" t="str" s="186" cm="1">
        <f t="array" ref="V66">V56</f>
        <v>Lagoa Azul</v>
      </c>
      <c r="W66" s="231" cm="1">
        <f t="array" ref="W66">AVERAGE(W46:AZ46)</f>
      </c>
      <c r="X66" s="231" cm="1">
        <f t="array" ref="X66">W66</f>
      </c>
      <c r="Y66" s="231" cm="1">
        <f t="array" ref="Y66">X66</f>
      </c>
      <c r="Z66" s="231" cm="1">
        <f t="array" ref="Z66">Y66</f>
      </c>
      <c r="AA66" s="231" cm="1">
        <f t="array" ref="AA66">Z66</f>
      </c>
      <c r="AB66" s="231" cm="1">
        <f t="array" ref="AB66">AA66</f>
      </c>
      <c r="AC66" s="231" cm="1">
        <f t="array" ref="AC66">AB66</f>
      </c>
      <c r="AD66" s="231" cm="1">
        <f t="array" ref="AD66">AC66</f>
      </c>
      <c r="AE66" s="231" cm="1">
        <f t="array" ref="AE66">AD66</f>
      </c>
      <c r="AF66" s="231" cm="1">
        <f t="array" ref="AF66">AE66</f>
      </c>
      <c r="AG66" s="231" cm="1">
        <f t="array" ref="AG66">AF66</f>
      </c>
      <c r="AH66" s="231" cm="1">
        <f t="array" ref="AH66">AG66</f>
      </c>
      <c r="AI66" s="231" cm="1">
        <f t="array" ref="AI66">AH66</f>
      </c>
      <c r="AJ66" s="231" cm="1">
        <f t="array" ref="AJ66">AI66</f>
      </c>
      <c r="AK66" s="231" cm="1">
        <f t="array" ref="AK66">AJ66</f>
      </c>
      <c r="AL66" s="231" cm="1">
        <f t="array" ref="AL66">AK66</f>
      </c>
      <c r="AM66" s="231" cm="1">
        <f t="array" ref="AM66">AL66</f>
      </c>
      <c r="AN66" s="231" cm="1">
        <f t="array" ref="AN66">AM66</f>
      </c>
      <c r="AO66" s="231" cm="1">
        <f t="array" ref="AO66">AN66</f>
      </c>
      <c r="AP66" s="231" cm="1">
        <f t="array" ref="AP66">AO66</f>
      </c>
      <c r="AQ66" s="231" cm="1">
        <f t="array" ref="AQ66">AP66</f>
      </c>
      <c r="AR66" s="231" cm="1">
        <f t="array" ref="AR66">AQ66</f>
      </c>
      <c r="AS66" s="231" cm="1">
        <f t="array" ref="AS66">AR66</f>
      </c>
      <c r="AT66" s="231" cm="1">
        <f t="array" ref="AT66">AS66</f>
      </c>
      <c r="AU66" s="231" cm="1">
        <f t="array" ref="AU66">AT66</f>
      </c>
      <c r="AV66" s="231" cm="1">
        <f t="array" ref="AV66">AU66</f>
      </c>
      <c r="AW66" s="231" cm="1">
        <f t="array" ref="AW66">AV66</f>
      </c>
      <c r="AX66" s="231" cm="1">
        <f t="array" ref="AX66">AW66</f>
      </c>
      <c r="AY66" s="231" cm="1">
        <f t="array" ref="AY66">AX66</f>
      </c>
      <c r="AZ66" s="231" cm="1">
        <f t="array" ref="AZ66">AY66</f>
      </c>
      <c r="BA66" s="13"/>
      <c r="BB66" s="13"/>
      <c r="BC66" s="13"/>
      <c r="BD66" s="17"/>
    </row>
    <row r="67" ht="15.75" customHeight="1">
      <c r="A67" s="12"/>
      <c r="B67" s="120"/>
      <c r="C67" s="120"/>
      <c r="D67" s="128" cm="1">
        <f t="array" ref="D67">_xlfn.AVERAGEIF($W$6:$AZ$6,D72,$W$9:$AZ$9)</f>
        <v>19321.67</v>
      </c>
      <c r="E67" s="129" cm="1">
        <f t="array" ref="E67">_xlfn.AVERAGEIF($W$6:$AZ$6,E72,$W$9:$AZ$9)</f>
        <v>17187.885</v>
      </c>
      <c r="F67" s="129" cm="1">
        <f t="array" ref="F67">_xlfn.AVERAGEIF($W$6:$AZ$6,F72,$W$9:$AZ$9)</f>
        <v>23070.222</v>
      </c>
      <c r="G67" s="129" cm="1">
        <f t="array" ref="G67">_xlfn.AVERAGEIF($W$6:$AZ$6,G72,$W$9:$AZ$9)</f>
        <v>23250.016</v>
      </c>
      <c r="H67" s="129" cm="1">
        <f t="array" ref="H67">_xlfn.AVERAGEIF($W$6:$AZ$6,H72,$W$9:$AZ$9)</f>
        <v>20490.0175</v>
      </c>
      <c r="I67" s="130" cm="1">
        <f t="array" ref="I67">_xlfn.AVERAGEIF($W$6:$AZ$6,I72,$W$9:$AZ$9)</f>
        <v>22703.26</v>
      </c>
      <c r="J67" s="131" cm="1">
        <f t="array" ref="J67">_xlfn.AVERAGEIF($W$6:$AZ$6,J72,$W$9:$AZ$9)</f>
        <v>17724.5425</v>
      </c>
      <c r="K67" s="141"/>
      <c r="L67" s="279"/>
      <c r="M67" s="13"/>
      <c r="N67" s="13"/>
      <c r="O67" s="13"/>
      <c r="P67" s="13"/>
      <c r="Q67" s="13"/>
      <c r="R67" s="13"/>
      <c r="S67" s="13"/>
      <c r="T67" s="111"/>
      <c r="U67" s="194" cm="1">
        <f t="array" ref="U67">U66+1</f>
        <v>9</v>
      </c>
      <c r="V67" t="str" s="186" cm="1">
        <f t="array" ref="V67">V57</f>
        <v>Maison</v>
      </c>
      <c r="W67" s="231" cm="1">
        <f t="array" ref="W67">AVERAGE(W47:AZ47)</f>
      </c>
      <c r="X67" s="231" cm="1">
        <f t="array" ref="X67">W67</f>
      </c>
      <c r="Y67" s="231" cm="1">
        <f t="array" ref="Y67">X67</f>
      </c>
      <c r="Z67" s="231" cm="1">
        <f t="array" ref="Z67">Y67</f>
      </c>
      <c r="AA67" s="231" cm="1">
        <f t="array" ref="AA67">Z67</f>
      </c>
      <c r="AB67" s="231" cm="1">
        <f t="array" ref="AB67">AA67</f>
      </c>
      <c r="AC67" s="231" cm="1">
        <f t="array" ref="AC67">AB67</f>
      </c>
      <c r="AD67" s="231" cm="1">
        <f t="array" ref="AD67">AC67</f>
      </c>
      <c r="AE67" s="231" cm="1">
        <f t="array" ref="AE67">AD67</f>
      </c>
      <c r="AF67" s="231" cm="1">
        <f t="array" ref="AF67">AE67</f>
      </c>
      <c r="AG67" s="231" cm="1">
        <f t="array" ref="AG67">AF67</f>
      </c>
      <c r="AH67" s="231" cm="1">
        <f t="array" ref="AH67">AG67</f>
      </c>
      <c r="AI67" s="231" cm="1">
        <f t="array" ref="AI67">AH67</f>
      </c>
      <c r="AJ67" s="231" cm="1">
        <f t="array" ref="AJ67">AI67</f>
      </c>
      <c r="AK67" s="231" cm="1">
        <f t="array" ref="AK67">AJ67</f>
      </c>
      <c r="AL67" s="231" cm="1">
        <f t="array" ref="AL67">AK67</f>
      </c>
      <c r="AM67" s="231" cm="1">
        <f t="array" ref="AM67">AL67</f>
      </c>
      <c r="AN67" s="231" cm="1">
        <f t="array" ref="AN67">AM67</f>
      </c>
      <c r="AO67" s="231" cm="1">
        <f t="array" ref="AO67">AN67</f>
      </c>
      <c r="AP67" s="231" cm="1">
        <f t="array" ref="AP67">AO67</f>
      </c>
      <c r="AQ67" s="231" cm="1">
        <f t="array" ref="AQ67">AP67</f>
      </c>
      <c r="AR67" s="231" cm="1">
        <f t="array" ref="AR67">AQ67</f>
      </c>
      <c r="AS67" s="231" cm="1">
        <f t="array" ref="AS67">AR67</f>
      </c>
      <c r="AT67" s="231" cm="1">
        <f t="array" ref="AT67">AS67</f>
      </c>
      <c r="AU67" s="231" cm="1">
        <f t="array" ref="AU67">AT67</f>
      </c>
      <c r="AV67" s="231" cm="1">
        <f t="array" ref="AV67">AU67</f>
      </c>
      <c r="AW67" s="231" cm="1">
        <f t="array" ref="AW67">AV67</f>
      </c>
      <c r="AX67" s="231" cm="1">
        <f t="array" ref="AX67">AW67</f>
      </c>
      <c r="AY67" s="231" cm="1">
        <f t="array" ref="AY67">AX67</f>
      </c>
      <c r="AZ67" s="231" cm="1">
        <f t="array" ref="AZ67">AY67</f>
      </c>
      <c r="BA67" s="13"/>
      <c r="BB67" s="13"/>
      <c r="BC67" s="13"/>
      <c r="BD67" s="17"/>
    </row>
    <row r="68" ht="15" customHeight="1">
      <c r="A68" s="12"/>
      <c r="B68" s="47"/>
      <c r="C68" s="47"/>
      <c r="D68" t="s" s="132">
        <v>63</v>
      </c>
      <c r="E68" s="133"/>
      <c r="F68" s="133"/>
      <c r="G68" s="133"/>
      <c r="H68" s="133"/>
      <c r="I68" s="134"/>
      <c r="J68" s="133"/>
      <c r="K68" s="141"/>
      <c r="L68" s="279"/>
      <c r="M68" s="13"/>
      <c r="N68" s="13"/>
      <c r="O68" s="13"/>
      <c r="P68" s="13"/>
      <c r="Q68" s="13"/>
      <c r="R68" s="13"/>
      <c r="S68" s="13"/>
      <c r="T68" s="13"/>
      <c r="U68" s="120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7"/>
    </row>
    <row r="69" ht="15.75" customHeight="1">
      <c r="A69" s="197"/>
      <c r="B69" s="270">
        <v>3</v>
      </c>
      <c r="C69" t="s" s="276">
        <v>64</v>
      </c>
      <c r="D69" t="s" s="123">
        <v>11</v>
      </c>
      <c r="E69" t="s" s="124">
        <v>12</v>
      </c>
      <c r="F69" t="s" s="124">
        <v>13</v>
      </c>
      <c r="G69" t="s" s="124">
        <v>14</v>
      </c>
      <c r="H69" t="s" s="125">
        <v>15</v>
      </c>
      <c r="I69" t="s" s="126">
        <v>176</v>
      </c>
      <c r="J69" t="s" s="136">
        <v>17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7"/>
    </row>
    <row r="70" ht="15.75" customHeight="1">
      <c r="A70" s="12"/>
      <c r="B70" s="120"/>
      <c r="C70" s="120"/>
      <c r="D70" s="128" cm="1">
        <f t="array" ref="D70">_xlfn.AVERAGEIF($W$6:$AZ$6,D63,$W$10:$AZ$10)</f>
        <v>5227.835</v>
      </c>
      <c r="E70" s="129" cm="1">
        <f t="array" ref="E70">_xlfn.AVERAGEIF($W$6:$AZ$6,E63,$W$10:$AZ$10)</f>
        <v>5141.2</v>
      </c>
      <c r="F70" s="129" cm="1">
        <f t="array" ref="F70">_xlfn.AVERAGEIF($W$6:$AZ$6,F63,$W$10:$AZ$10)</f>
        <v>6816.746</v>
      </c>
      <c r="G70" s="129" cm="1">
        <f t="array" ref="G70">_xlfn.AVERAGEIF($W$6:$AZ$6,G63,$W$10:$AZ$10)</f>
        <v>7484.24</v>
      </c>
      <c r="H70" s="129" cm="1">
        <f t="array" ref="H70">_xlfn.AVERAGEIF($W$6:$AZ$6,H63,$W$10:$AZ$10)</f>
        <v>7273</v>
      </c>
      <c r="I70" s="130" cm="1">
        <f t="array" ref="I70">_xlfn.AVERAGEIF($W$6:$AZ$6,I63,$W$10:$AZ$10)</f>
        <v>7376.265</v>
      </c>
      <c r="J70" s="131" cm="1">
        <f t="array" ref="J70">_xlfn.AVERAGEIF($W$6:$AZ$6,J63,$W$10:$AZ$10)</f>
        <v>5716.005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88"/>
      <c r="V70" t="s" s="170">
        <v>177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7"/>
    </row>
    <row r="71" ht="15.75" customHeight="1">
      <c r="A71" s="12"/>
      <c r="B71" s="47"/>
      <c r="C71" s="47"/>
      <c r="D71" t="s" s="132">
        <v>65</v>
      </c>
      <c r="E71" s="133"/>
      <c r="F71" s="133"/>
      <c r="G71" s="133"/>
      <c r="H71" s="133"/>
      <c r="I71" s="134"/>
      <c r="J71" s="133"/>
      <c r="K71" s="13"/>
      <c r="L71" s="13"/>
      <c r="M71" s="13"/>
      <c r="N71" s="13"/>
      <c r="O71" s="13"/>
      <c r="P71" s="13"/>
      <c r="Q71" s="13"/>
      <c r="R71" s="13"/>
      <c r="S71" s="13"/>
      <c r="T71" s="111"/>
      <c r="U71" s="194">
        <v>1</v>
      </c>
      <c r="V71" t="s" s="195">
        <v>61</v>
      </c>
      <c r="W71" s="285" cm="1">
        <f t="array" ref="W71">W8/W39</f>
      </c>
      <c r="X71" s="285" cm="1">
        <f t="array" ref="X71">X8/X39</f>
      </c>
      <c r="Y71" s="285" cm="1">
        <f t="array" ref="Y71">Y8/Y39</f>
      </c>
      <c r="Z71" s="285" cm="1">
        <f t="array" ref="Z71">Z8/Z39</f>
      </c>
      <c r="AA71" s="285" cm="1">
        <f t="array" ref="AA71">AA8/AA39</f>
      </c>
      <c r="AB71" s="285" cm="1">
        <f t="array" ref="AB71">AB8/AB39</f>
      </c>
      <c r="AC71" s="285" cm="1">
        <f t="array" ref="AC71">AC8/AC39</f>
      </c>
      <c r="AD71" s="285" cm="1">
        <f t="array" ref="AD71">AD8/AD39</f>
      </c>
      <c r="AE71" s="285" cm="1">
        <f t="array" ref="AE71">AE8/AE39</f>
      </c>
      <c r="AF71" s="285" cm="1">
        <f t="array" ref="AF71">AF8/AF39</f>
      </c>
      <c r="AG71" s="285" cm="1">
        <f t="array" ref="AG71">AG8/AG39</f>
      </c>
      <c r="AH71" s="285" cm="1">
        <f t="array" ref="AH71">AH8/AH39</f>
      </c>
      <c r="AI71" s="285" cm="1">
        <f t="array" ref="AI71">AI8/AI39</f>
      </c>
      <c r="AJ71" s="285" cm="1">
        <f t="array" ref="AJ71">AJ8/AJ39</f>
      </c>
      <c r="AK71" s="285" cm="1">
        <f t="array" ref="AK71">AK8/AK39</f>
      </c>
      <c r="AL71" s="285" cm="1">
        <f t="array" ref="AL71">AL8/AL39</f>
      </c>
      <c r="AM71" s="285" cm="1">
        <f t="array" ref="AM71">AM8/AM39</f>
      </c>
      <c r="AN71" s="285" cm="1">
        <f t="array" ref="AN71">AN8/AN39</f>
      </c>
      <c r="AO71" s="285" cm="1">
        <f t="array" ref="AO71">AO8/AO39</f>
      </c>
      <c r="AP71" s="285" cm="1">
        <f t="array" ref="AP71">AP8/AP39</f>
      </c>
      <c r="AQ71" s="285" cm="1">
        <f t="array" ref="AQ71">AQ8/AQ39</f>
      </c>
      <c r="AR71" s="285" cm="1">
        <f t="array" ref="AR71">AR8/AR39</f>
      </c>
      <c r="AS71" s="285" cm="1">
        <f t="array" ref="AS71">AS8/AS39</f>
      </c>
      <c r="AT71" s="285" cm="1">
        <f t="array" ref="AT71">AT8/AT39</f>
      </c>
      <c r="AU71" s="285" cm="1">
        <f t="array" ref="AU71">AU8/AU39</f>
      </c>
      <c r="AV71" s="285" cm="1">
        <f t="array" ref="AV71">AV8/AV39</f>
      </c>
      <c r="AW71" s="285" cm="1">
        <f t="array" ref="AW71">AW8/AW39</f>
      </c>
      <c r="AX71" s="285" cm="1">
        <f t="array" ref="AX71">AX8/AX39</f>
      </c>
      <c r="AY71" s="285" cm="1">
        <f t="array" ref="AY71">AY8/AY39</f>
      </c>
      <c r="AZ71" s="285" cm="1">
        <f t="array" ref="AZ71">AZ8/AZ39</f>
      </c>
      <c r="BA71" s="285" cm="1">
        <f t="array" ref="BA71">BA8/BA39</f>
      </c>
      <c r="BB71" s="285"/>
      <c r="BC71" s="285"/>
      <c r="BD71" s="290"/>
    </row>
    <row r="72" ht="15.75" customHeight="1">
      <c r="A72" s="197"/>
      <c r="B72" s="270">
        <v>4</v>
      </c>
      <c r="C72" t="s" s="276">
        <v>65</v>
      </c>
      <c r="D72" t="s" s="123">
        <v>11</v>
      </c>
      <c r="E72" t="s" s="124">
        <v>12</v>
      </c>
      <c r="F72" t="s" s="124">
        <v>13</v>
      </c>
      <c r="G72" t="s" s="124">
        <v>14</v>
      </c>
      <c r="H72" t="s" s="125">
        <v>15</v>
      </c>
      <c r="I72" t="s" s="126">
        <v>176</v>
      </c>
      <c r="J72" t="s" s="136">
        <v>17</v>
      </c>
      <c r="K72" s="13"/>
      <c r="L72" s="13"/>
      <c r="M72" s="13"/>
      <c r="N72" s="13"/>
      <c r="O72" s="13"/>
      <c r="P72" s="13"/>
      <c r="Q72" s="13"/>
      <c r="R72" s="13"/>
      <c r="S72" s="13"/>
      <c r="T72" s="111"/>
      <c r="U72" s="194">
        <v>2</v>
      </c>
      <c r="V72" t="s" s="212">
        <v>62</v>
      </c>
      <c r="W72" s="285" cm="1">
        <f t="array" ref="W72">W9/W40</f>
      </c>
      <c r="X72" s="285" cm="1">
        <f t="array" ref="X72">X9/X40</f>
      </c>
      <c r="Y72" s="285" cm="1">
        <f t="array" ref="Y72">Y9/Y40</f>
      </c>
      <c r="Z72" s="285" cm="1">
        <f t="array" ref="Z72">Z9/Z40</f>
      </c>
      <c r="AA72" s="285" cm="1">
        <f t="array" ref="AA72">AA9/AA40</f>
      </c>
      <c r="AB72" s="285" cm="1">
        <f t="array" ref="AB72">AB9/AB40</f>
      </c>
      <c r="AC72" s="285" cm="1">
        <f t="array" ref="AC72">AC9/AC40</f>
      </c>
      <c r="AD72" s="285" cm="1">
        <f t="array" ref="AD72">AD9/AD40</f>
      </c>
      <c r="AE72" s="285" cm="1">
        <f t="array" ref="AE72">AE9/AE40</f>
      </c>
      <c r="AF72" s="285" cm="1">
        <f t="array" ref="AF72">AF9/AF40</f>
      </c>
      <c r="AG72" s="285" cm="1">
        <f t="array" ref="AG72">AG9/AG40</f>
      </c>
      <c r="AH72" s="285" cm="1">
        <f t="array" ref="AH72">AH9/AH40</f>
      </c>
      <c r="AI72" s="285" cm="1">
        <f t="array" ref="AI72">AI9/AI40</f>
      </c>
      <c r="AJ72" s="285" cm="1">
        <f t="array" ref="AJ72">AJ9/AJ40</f>
      </c>
      <c r="AK72" s="285" cm="1">
        <f t="array" ref="AK72">AK9/AK40</f>
      </c>
      <c r="AL72" s="285" cm="1">
        <f t="array" ref="AL72">AL9/AL40</f>
      </c>
      <c r="AM72" s="285" cm="1">
        <f t="array" ref="AM72">AM9/AM40</f>
      </c>
      <c r="AN72" s="285" cm="1">
        <f t="array" ref="AN72">AN9/AN40</f>
      </c>
      <c r="AO72" s="285" cm="1">
        <f t="array" ref="AO72">AO9/AO40</f>
      </c>
      <c r="AP72" s="285" cm="1">
        <f t="array" ref="AP72">AP9/AP40</f>
      </c>
      <c r="AQ72" s="285" cm="1">
        <f t="array" ref="AQ72">AQ9/AQ40</f>
      </c>
      <c r="AR72" s="285" cm="1">
        <f t="array" ref="AR72">AR9/AR40</f>
      </c>
      <c r="AS72" s="285" cm="1">
        <f t="array" ref="AS72">AS9/AS40</f>
      </c>
      <c r="AT72" s="285" cm="1">
        <f t="array" ref="AT72">AT9/AT40</f>
      </c>
      <c r="AU72" s="285" cm="1">
        <f t="array" ref="AU72">AU9/AU40</f>
      </c>
      <c r="AV72" s="285" cm="1">
        <f t="array" ref="AV72">AV9/AV40</f>
      </c>
      <c r="AW72" s="285" cm="1">
        <f t="array" ref="AW72">AW9/AW40</f>
      </c>
      <c r="AX72" s="285" cm="1">
        <f t="array" ref="AX72">AX9/AX40</f>
      </c>
      <c r="AY72" s="285" cm="1">
        <f t="array" ref="AY72">AY9/AY40</f>
      </c>
      <c r="AZ72" s="285" cm="1">
        <f t="array" ref="AZ72">AZ9/AZ40</f>
      </c>
      <c r="BA72" s="285" cm="1">
        <f t="array" ref="BA72">BA9/BA40</f>
      </c>
      <c r="BB72" s="285"/>
      <c r="BC72" s="285"/>
      <c r="BD72" s="290"/>
    </row>
    <row r="73" ht="15.75" customHeight="1">
      <c r="A73" s="12"/>
      <c r="B73" s="120"/>
      <c r="C73" s="120"/>
      <c r="D73" s="128" cm="1">
        <f t="array" ref="D73">_xlfn.AVERAGEIF($W$6:$AZ$6,D69,$W$11:$AZ$11)</f>
        <v>2976.97</v>
      </c>
      <c r="E73" s="129" cm="1">
        <f t="array" ref="E73">_xlfn.AVERAGEIF($W$6:$AZ$6,E69,$W$11:$AZ$11)</f>
        <v>10584.717</v>
      </c>
      <c r="F73" s="129" cm="1">
        <f t="array" ref="F73">_xlfn.AVERAGEIF($W$6:$AZ$6,F69,$W$11:$AZ$11)</f>
        <v>5296.232</v>
      </c>
      <c r="G73" s="129" cm="1">
        <f t="array" ref="G73">_xlfn.AVERAGEIF($W$6:$AZ$6,G69,$W$11:$AZ$11)</f>
        <v>7716.684</v>
      </c>
      <c r="H73" s="129" cm="1">
        <f t="array" ref="H73">_xlfn.AVERAGEIF($W$6:$AZ$6,H69,$W$11:$AZ$11)</f>
        <v>12111.6225</v>
      </c>
      <c r="I73" s="130" cm="1">
        <f t="array" ref="I73">_xlfn.AVERAGEIF($W$6:$AZ$6,I69,$W$11:$AZ$11)</f>
        <v>17697.915</v>
      </c>
      <c r="J73" s="131" cm="1">
        <f t="array" ref="J73">_xlfn.AVERAGEIF($W$6:$AZ$6,J69,$W$11:$AZ$11)</f>
        <v>13560.5</v>
      </c>
      <c r="K73" s="13"/>
      <c r="L73" s="13"/>
      <c r="M73" s="13"/>
      <c r="N73" s="13"/>
      <c r="O73" s="13"/>
      <c r="P73" s="13"/>
      <c r="Q73" s="13"/>
      <c r="R73" s="13"/>
      <c r="S73" s="13"/>
      <c r="T73" s="111"/>
      <c r="U73" s="194">
        <v>3</v>
      </c>
      <c r="V73" t="s" s="212">
        <v>64</v>
      </c>
      <c r="W73" s="285" cm="1">
        <f t="array" ref="W73">W10/W41</f>
      </c>
      <c r="X73" s="285" cm="1">
        <f t="array" ref="X73">X10/X41</f>
      </c>
      <c r="Y73" s="285" cm="1">
        <f t="array" ref="Y73">Y10/Y41</f>
      </c>
      <c r="Z73" s="285" cm="1">
        <f t="array" ref="Z73">Z10/Z41</f>
      </c>
      <c r="AA73" s="285" cm="1">
        <f t="array" ref="AA73">AA10/AA41</f>
      </c>
      <c r="AB73" s="285" cm="1">
        <f t="array" ref="AB73">AB10/AB41</f>
      </c>
      <c r="AC73" s="285" cm="1">
        <f t="array" ref="AC73">AC10/AC41</f>
      </c>
      <c r="AD73" s="285" cm="1">
        <f t="array" ref="AD73">AD10/AD41</f>
      </c>
      <c r="AE73" s="285" cm="1">
        <f t="array" ref="AE73">AE10/AE41</f>
      </c>
      <c r="AF73" s="285" cm="1">
        <f t="array" ref="AF73">AF10/AF41</f>
      </c>
      <c r="AG73" s="285" cm="1">
        <f t="array" ref="AG73">AG10/AG41</f>
      </c>
      <c r="AH73" s="285" cm="1">
        <f t="array" ref="AH73">AH10/AH41</f>
      </c>
      <c r="AI73" s="285" cm="1">
        <f t="array" ref="AI73">AI10/AI41</f>
      </c>
      <c r="AJ73" s="285" cm="1">
        <f t="array" ref="AJ73">AJ10/AJ41</f>
      </c>
      <c r="AK73" s="285" cm="1">
        <f t="array" ref="AK73">AK10/AK41</f>
      </c>
      <c r="AL73" s="285" cm="1">
        <f t="array" ref="AL73">AL10/AL41</f>
      </c>
      <c r="AM73" s="285" cm="1">
        <f t="array" ref="AM73">AM10/AM41</f>
      </c>
      <c r="AN73" s="285" cm="1">
        <f t="array" ref="AN73">AN10/AN41</f>
      </c>
      <c r="AO73" s="285" cm="1">
        <f t="array" ref="AO73">AO10/AO41</f>
      </c>
      <c r="AP73" s="285" cm="1">
        <f t="array" ref="AP73">AP10/AP41</f>
      </c>
      <c r="AQ73" s="285" cm="1">
        <f t="array" ref="AQ73">AQ10/AQ41</f>
      </c>
      <c r="AR73" s="285" cm="1">
        <f t="array" ref="AR73">AR10/AR41</f>
      </c>
      <c r="AS73" s="285" cm="1">
        <f t="array" ref="AS73">AS10/AS41</f>
      </c>
      <c r="AT73" s="285" cm="1">
        <f t="array" ref="AT73">AT10/AT41</f>
      </c>
      <c r="AU73" s="285" cm="1">
        <f t="array" ref="AU73">AU10/AU41</f>
      </c>
      <c r="AV73" s="285" cm="1">
        <f t="array" ref="AV73">AV10/AV41</f>
      </c>
      <c r="AW73" s="285" cm="1">
        <f t="array" ref="AW73">AW10/AW41</f>
      </c>
      <c r="AX73" s="285" cm="1">
        <f t="array" ref="AX73">AX10/AX41</f>
      </c>
      <c r="AY73" s="285" cm="1">
        <f t="array" ref="AY73">AY10/AY41</f>
      </c>
      <c r="AZ73" s="285" cm="1">
        <f t="array" ref="AZ73">AZ10/AZ41</f>
      </c>
      <c r="BA73" s="285" cm="1">
        <f t="array" ref="BA73">BA10/BA41</f>
      </c>
      <c r="BB73" s="285"/>
      <c r="BC73" s="285"/>
      <c r="BD73" s="290"/>
    </row>
    <row r="74" ht="15.75" customHeight="1">
      <c r="A74" s="12"/>
      <c r="B74" s="47"/>
      <c r="C74" s="47"/>
      <c r="D74" t="s" s="132">
        <v>178</v>
      </c>
      <c r="E74" s="133"/>
      <c r="F74" s="133"/>
      <c r="G74" s="133"/>
      <c r="H74" s="133"/>
      <c r="I74" s="134"/>
      <c r="J74" s="133"/>
      <c r="K74" s="13"/>
      <c r="L74" s="13"/>
      <c r="M74" s="13"/>
      <c r="N74" s="13"/>
      <c r="O74" s="13"/>
      <c r="P74" s="13"/>
      <c r="Q74" s="13"/>
      <c r="R74" s="13"/>
      <c r="S74" s="13"/>
      <c r="T74" s="111"/>
      <c r="U74" s="194">
        <v>4</v>
      </c>
      <c r="V74" t="s" s="212">
        <v>65</v>
      </c>
      <c r="W74" s="285" cm="1">
        <f t="array" ref="W74">W11/W42</f>
      </c>
      <c r="X74" s="285" cm="1">
        <f t="array" ref="X74">X11/X42</f>
      </c>
      <c r="Y74" s="285" cm="1">
        <f t="array" ref="Y74">Y11/Y42</f>
      </c>
      <c r="Z74" s="285" cm="1">
        <f t="array" ref="Z74">Z11/Z42</f>
      </c>
      <c r="AA74" s="285" cm="1">
        <f t="array" ref="AA74">AA11/AA42</f>
      </c>
      <c r="AB74" s="285" cm="1">
        <f t="array" ref="AB74">AB11/AB42</f>
      </c>
      <c r="AC74" s="285" cm="1">
        <f t="array" ref="AC74">AC11/AC42</f>
      </c>
      <c r="AD74" s="285" cm="1">
        <f t="array" ref="AD74">AD11/AD42</f>
      </c>
      <c r="AE74" s="285" cm="1">
        <f t="array" ref="AE74">AE11/AE42</f>
      </c>
      <c r="AF74" s="285" cm="1">
        <f t="array" ref="AF74">AF11/AF42</f>
      </c>
      <c r="AG74" s="285" cm="1">
        <f t="array" ref="AG74">AG11/AG42</f>
      </c>
      <c r="AH74" s="285" cm="1">
        <f t="array" ref="AH74">AH11/AH42</f>
      </c>
      <c r="AI74" s="285" cm="1">
        <f t="array" ref="AI74">AI11/AI42</f>
      </c>
      <c r="AJ74" s="285" cm="1">
        <f t="array" ref="AJ74">AJ11/AJ42</f>
      </c>
      <c r="AK74" s="285" cm="1">
        <f t="array" ref="AK74">AK11/AK42</f>
      </c>
      <c r="AL74" s="285" cm="1">
        <f t="array" ref="AL74">AL11/AL42</f>
      </c>
      <c r="AM74" s="285" cm="1">
        <f t="array" ref="AM74">AM11/AM42</f>
      </c>
      <c r="AN74" s="285" cm="1">
        <f t="array" ref="AN74">AN11/AN42</f>
      </c>
      <c r="AO74" s="285" cm="1">
        <f t="array" ref="AO74">AO11/AO42</f>
      </c>
      <c r="AP74" s="285" cm="1">
        <f t="array" ref="AP74">AP11/AP42</f>
      </c>
      <c r="AQ74" s="285" cm="1">
        <f t="array" ref="AQ74">AQ11/AQ42</f>
      </c>
      <c r="AR74" s="285" cm="1">
        <f t="array" ref="AR74">AR11/AR42</f>
      </c>
      <c r="AS74" s="285" cm="1">
        <f t="array" ref="AS74">AS11/AS42</f>
      </c>
      <c r="AT74" s="285" cm="1">
        <f t="array" ref="AT74">AT11/AT42</f>
      </c>
      <c r="AU74" s="285" cm="1">
        <f t="array" ref="AU74">AU11/AU42</f>
      </c>
      <c r="AV74" s="285" cm="1">
        <f t="array" ref="AV74">AV11/AV42</f>
      </c>
      <c r="AW74" s="285" cm="1">
        <f t="array" ref="AW74">AW11/AW42</f>
      </c>
      <c r="AX74" s="285" cm="1">
        <f t="array" ref="AX74">AX11/AX42</f>
      </c>
      <c r="AY74" s="285" cm="1">
        <f t="array" ref="AY74">AY11/AY42</f>
      </c>
      <c r="AZ74" s="285" cm="1">
        <f t="array" ref="AZ74">AZ11/AZ42</f>
      </c>
      <c r="BA74" s="285" cm="1">
        <f t="array" ref="BA74">BA11/BA42</f>
      </c>
      <c r="BB74" s="285"/>
      <c r="BC74" s="285"/>
      <c r="BD74" s="290"/>
    </row>
    <row r="75" ht="15.75" customHeight="1">
      <c r="A75" s="197"/>
      <c r="B75" s="270">
        <v>5</v>
      </c>
      <c r="C75" t="s" s="276">
        <v>66</v>
      </c>
      <c r="D75" t="s" s="123">
        <v>11</v>
      </c>
      <c r="E75" t="s" s="124">
        <v>12</v>
      </c>
      <c r="F75" t="s" s="124">
        <v>13</v>
      </c>
      <c r="G75" t="s" s="124">
        <v>14</v>
      </c>
      <c r="H75" t="s" s="125">
        <v>15</v>
      </c>
      <c r="I75" t="s" s="126">
        <v>176</v>
      </c>
      <c r="J75" t="s" s="136">
        <v>17</v>
      </c>
      <c r="K75" s="13"/>
      <c r="L75" s="13"/>
      <c r="M75" s="13"/>
      <c r="N75" s="13"/>
      <c r="O75" s="13"/>
      <c r="P75" s="13"/>
      <c r="Q75" s="13"/>
      <c r="R75" s="13"/>
      <c r="S75" s="13"/>
      <c r="T75" s="111"/>
      <c r="U75" s="194">
        <v>5</v>
      </c>
      <c r="V75" t="s" s="212">
        <v>66</v>
      </c>
      <c r="W75" s="285" cm="1">
        <f t="array" ref="W75">W12/W43</f>
      </c>
      <c r="X75" s="285" cm="1">
        <f t="array" ref="X75">X12/X43</f>
      </c>
      <c r="Y75" s="285" cm="1">
        <f t="array" ref="Y75">Y12/Y43</f>
      </c>
      <c r="Z75" s="285" cm="1">
        <f t="array" ref="Z75">Z12/Z43</f>
      </c>
      <c r="AA75" s="285" cm="1">
        <f t="array" ref="AA75">AA12/AA43</f>
      </c>
      <c r="AB75" s="285" cm="1">
        <f t="array" ref="AB75">AB12/AB43</f>
      </c>
      <c r="AC75" s="285" cm="1">
        <f t="array" ref="AC75">AC12/AC43</f>
      </c>
      <c r="AD75" s="285" cm="1">
        <f t="array" ref="AD75">AD12/AD43</f>
      </c>
      <c r="AE75" s="285" cm="1">
        <f t="array" ref="AE75">AE12/AE43</f>
      </c>
      <c r="AF75" s="285" cm="1">
        <f t="array" ref="AF75">AF12/AF43</f>
      </c>
      <c r="AG75" s="285" cm="1">
        <f t="array" ref="AG75">AG12/AG43</f>
      </c>
      <c r="AH75" s="285" cm="1">
        <f t="array" ref="AH75">AH12/AH43</f>
      </c>
      <c r="AI75" s="285" cm="1">
        <f t="array" ref="AI75">AI12/AI43</f>
      </c>
      <c r="AJ75" s="285" cm="1">
        <f t="array" ref="AJ75">AJ12/AJ43</f>
      </c>
      <c r="AK75" s="285" cm="1">
        <f t="array" ref="AK75">AK12/AK43</f>
      </c>
      <c r="AL75" s="285" cm="1">
        <f t="array" ref="AL75">AL12/AL43</f>
      </c>
      <c r="AM75" s="285" cm="1">
        <f t="array" ref="AM75">AM12/AM43</f>
      </c>
      <c r="AN75" s="285" cm="1">
        <f t="array" ref="AN75">AN12/AN43</f>
      </c>
      <c r="AO75" s="285" cm="1">
        <f t="array" ref="AO75">AO12/AO43</f>
      </c>
      <c r="AP75" s="285" cm="1">
        <f t="array" ref="AP75">AP12/AP43</f>
      </c>
      <c r="AQ75" s="285" cm="1">
        <f t="array" ref="AQ75">AQ12/AQ43</f>
      </c>
      <c r="AR75" s="285" cm="1">
        <f t="array" ref="AR75">AR12/AR43</f>
      </c>
      <c r="AS75" s="285" cm="1">
        <f t="array" ref="AS75">AS12/AS43</f>
      </c>
      <c r="AT75" s="285" cm="1">
        <f t="array" ref="AT75">AT12/AT43</f>
      </c>
      <c r="AU75" s="285" cm="1">
        <f t="array" ref="AU75">AU12/AU43</f>
      </c>
      <c r="AV75" s="285" cm="1">
        <f t="array" ref="AV75">AV12/AV43</f>
      </c>
      <c r="AW75" s="285" cm="1">
        <f t="array" ref="AW75">AW12/AW43</f>
      </c>
      <c r="AX75" s="285" cm="1">
        <f t="array" ref="AX75">AX12/AX43</f>
      </c>
      <c r="AY75" s="285" cm="1">
        <f t="array" ref="AY75">AY12/AY43</f>
      </c>
      <c r="AZ75" s="285" cm="1">
        <f t="array" ref="AZ75">AZ12/AZ43</f>
      </c>
      <c r="BA75" s="285" cm="1">
        <f t="array" ref="BA75">BA12/BA43</f>
      </c>
      <c r="BB75" s="285"/>
      <c r="BC75" s="285"/>
      <c r="BD75" s="290"/>
    </row>
    <row r="76" ht="15.75" customHeight="1">
      <c r="A76" s="12"/>
      <c r="B76" s="120"/>
      <c r="C76" s="120"/>
      <c r="D76" s="128" cm="1">
        <f t="array" ref="D76">_xlfn.AVERAGEIF($W$6:$AZ$6,D72,$W$12:$AZ$12)</f>
        <v>7089.4</v>
      </c>
      <c r="E76" s="129" cm="1">
        <f t="array" ref="E76">_xlfn.AVERAGEIF($W$6:$AZ$6,E72,$W$12:$AZ$12)</f>
        <v>6642.4475</v>
      </c>
      <c r="F76" s="129" cm="1">
        <f t="array" ref="F76">_xlfn.AVERAGEIF($W$6:$AZ$6,F72,$W$12:$AZ$12)</f>
        <v>7951.174</v>
      </c>
      <c r="G76" s="129" cm="1">
        <f t="array" ref="G76">_xlfn.AVERAGEIF($W$6:$AZ$6,G72,$W$12:$AZ$12)</f>
        <v>10702.562</v>
      </c>
      <c r="H76" s="129" cm="1">
        <f t="array" ref="H76">_xlfn.AVERAGEIF($W$6:$AZ$6,H72,$W$12:$AZ$12)</f>
        <v>5559</v>
      </c>
      <c r="I76" s="130" cm="1">
        <f t="array" ref="I76">_xlfn.AVERAGEIF($W$6:$AZ$6,I72,$W$12:$AZ$12)</f>
        <v>6432.2775</v>
      </c>
      <c r="J76" s="131" cm="1">
        <f t="array" ref="J76">_xlfn.AVERAGEIF($W$6:$AZ$6,J72,$W$12:$AZ$12)</f>
        <v>7767.295</v>
      </c>
      <c r="K76" s="13"/>
      <c r="L76" s="13"/>
      <c r="M76" s="13"/>
      <c r="N76" s="13"/>
      <c r="O76" s="13"/>
      <c r="P76" s="13"/>
      <c r="Q76" s="13"/>
      <c r="R76" s="13"/>
      <c r="S76" s="13"/>
      <c r="T76" s="111"/>
      <c r="U76" s="194">
        <v>6</v>
      </c>
      <c r="V76" t="s" s="212">
        <v>67</v>
      </c>
      <c r="W76" s="285" cm="1">
        <f t="array" ref="W76">W13/W44</f>
      </c>
      <c r="X76" s="285" cm="1">
        <f t="array" ref="X76">X13/X44</f>
      </c>
      <c r="Y76" s="285" cm="1">
        <f t="array" ref="Y76">Y13/Y44</f>
      </c>
      <c r="Z76" s="285" cm="1">
        <f t="array" ref="Z76">Z13/Z44</f>
      </c>
      <c r="AA76" s="285" cm="1">
        <f t="array" ref="AA76">AA13/AA44</f>
      </c>
      <c r="AB76" s="285" cm="1">
        <f t="array" ref="AB76">AB13/AB44</f>
      </c>
      <c r="AC76" s="285" cm="1">
        <f t="array" ref="AC76">AC13/AC44</f>
      </c>
      <c r="AD76" s="285" cm="1">
        <f t="array" ref="AD76">AD13/AD44</f>
      </c>
      <c r="AE76" s="285" cm="1">
        <f t="array" ref="AE76">AE13/AE44</f>
      </c>
      <c r="AF76" s="285" cm="1">
        <f t="array" ref="AF76">AF13/AF44</f>
      </c>
      <c r="AG76" s="285" cm="1">
        <f t="array" ref="AG76">AG13/AG44</f>
      </c>
      <c r="AH76" s="285" cm="1">
        <f t="array" ref="AH76">AH13/AH44</f>
      </c>
      <c r="AI76" s="285" cm="1">
        <f t="array" ref="AI76">AI13/AI44</f>
      </c>
      <c r="AJ76" s="285" cm="1">
        <f t="array" ref="AJ76">AJ13/AJ44</f>
      </c>
      <c r="AK76" s="285" cm="1">
        <f t="array" ref="AK76">AK13/AK44</f>
      </c>
      <c r="AL76" s="285" cm="1">
        <f t="array" ref="AL76">AL13/AL44</f>
      </c>
      <c r="AM76" s="285" cm="1">
        <f t="array" ref="AM76">AM13/AM44</f>
      </c>
      <c r="AN76" s="285" cm="1">
        <f t="array" ref="AN76">AN13/AN44</f>
      </c>
      <c r="AO76" s="285" cm="1">
        <f t="array" ref="AO76">AO13/AO44</f>
      </c>
      <c r="AP76" s="285" cm="1">
        <f t="array" ref="AP76">AP13/AP44</f>
      </c>
      <c r="AQ76" s="285" cm="1">
        <f t="array" ref="AQ76">AQ13/AQ44</f>
      </c>
      <c r="AR76" s="285" cm="1">
        <f t="array" ref="AR76">AR13/AR44</f>
      </c>
      <c r="AS76" s="285" cm="1">
        <f t="array" ref="AS76">AS13/AS44</f>
      </c>
      <c r="AT76" s="285" cm="1">
        <f t="array" ref="AT76">AT13/AT44</f>
      </c>
      <c r="AU76" s="285" cm="1">
        <f t="array" ref="AU76">AU13/AU44</f>
      </c>
      <c r="AV76" s="285" cm="1">
        <f t="array" ref="AV76">AV13/AV44</f>
      </c>
      <c r="AW76" s="285" cm="1">
        <f t="array" ref="AW76">AW13/AW44</f>
      </c>
      <c r="AX76" s="285" cm="1">
        <f t="array" ref="AX76">AX13/AX44</f>
      </c>
      <c r="AY76" s="285" cm="1">
        <f t="array" ref="AY76">AY13/AY44</f>
      </c>
      <c r="AZ76" s="285" cm="1">
        <f t="array" ref="AZ76">AZ13/AZ44</f>
      </c>
      <c r="BA76" s="285" cm="1">
        <f t="array" ref="BA76">BA13/BA44</f>
      </c>
      <c r="BB76" s="285"/>
      <c r="BC76" s="285"/>
      <c r="BD76" s="290"/>
    </row>
    <row r="77" ht="15.75" customHeight="1">
      <c r="A77" s="12"/>
      <c r="B77" s="47"/>
      <c r="C77" s="47"/>
      <c r="D77" t="s" s="132">
        <v>179</v>
      </c>
      <c r="E77" s="133"/>
      <c r="F77" s="133"/>
      <c r="G77" s="133"/>
      <c r="H77" s="133"/>
      <c r="I77" s="134"/>
      <c r="J77" s="133"/>
      <c r="K77" s="13"/>
      <c r="L77" s="13"/>
      <c r="M77" s="13"/>
      <c r="N77" s="13"/>
      <c r="O77" s="13"/>
      <c r="P77" s="13"/>
      <c r="Q77" s="13"/>
      <c r="R77" s="13"/>
      <c r="S77" s="13"/>
      <c r="T77" s="111"/>
      <c r="U77" s="194">
        <v>7</v>
      </c>
      <c r="V77" t="s" s="212">
        <v>68</v>
      </c>
      <c r="W77" s="285" cm="1">
        <f t="array" ref="W77">W14/W45</f>
      </c>
      <c r="X77" s="285" cm="1">
        <f t="array" ref="X77">X14/X45</f>
      </c>
      <c r="Y77" s="285" cm="1">
        <f t="array" ref="Y77">Y14/Y45</f>
      </c>
      <c r="Z77" s="285" cm="1">
        <f t="array" ref="Z77">Z14/Z45</f>
      </c>
      <c r="AA77" s="285" cm="1">
        <f t="array" ref="AA77">AA14/AA45</f>
      </c>
      <c r="AB77" s="285" cm="1">
        <f t="array" ref="AB77">AB14/AB45</f>
      </c>
      <c r="AC77" s="285" cm="1">
        <f t="array" ref="AC77">AC14/AC45</f>
      </c>
      <c r="AD77" s="285" cm="1">
        <f t="array" ref="AD77">AD14/AD45</f>
      </c>
      <c r="AE77" s="285" cm="1">
        <f t="array" ref="AE77">AE14/AE45</f>
      </c>
      <c r="AF77" s="285" cm="1">
        <f t="array" ref="AF77">AF14/AF45</f>
      </c>
      <c r="AG77" s="285" cm="1">
        <f t="array" ref="AG77">AG14/AG45</f>
      </c>
      <c r="AH77" s="285" cm="1">
        <f t="array" ref="AH77">AH14/AH45</f>
      </c>
      <c r="AI77" s="285" cm="1">
        <f t="array" ref="AI77">AI14/AI45</f>
      </c>
      <c r="AJ77" s="285" cm="1">
        <f t="array" ref="AJ77">AJ14/AJ45</f>
      </c>
      <c r="AK77" s="285" cm="1">
        <f t="array" ref="AK77">AK14/AK45</f>
      </c>
      <c r="AL77" s="285" cm="1">
        <f t="array" ref="AL77">AL14/AL45</f>
      </c>
      <c r="AM77" s="285" cm="1">
        <f t="array" ref="AM77">AM14/AM45</f>
      </c>
      <c r="AN77" s="285" cm="1">
        <f t="array" ref="AN77">AN14/AN45</f>
      </c>
      <c r="AO77" s="285" cm="1">
        <f t="array" ref="AO77">AO14/AO45</f>
      </c>
      <c r="AP77" s="285" cm="1">
        <f t="array" ref="AP77">AP14/AP45</f>
      </c>
      <c r="AQ77" s="285" cm="1">
        <f t="array" ref="AQ77">AQ14/AQ45</f>
      </c>
      <c r="AR77" s="285" cm="1">
        <f t="array" ref="AR77">AR14/AR45</f>
      </c>
      <c r="AS77" s="285" cm="1">
        <f t="array" ref="AS77">AS14/AS45</f>
      </c>
      <c r="AT77" s="285" cm="1">
        <f t="array" ref="AT77">AT14/AT45</f>
      </c>
      <c r="AU77" s="285" cm="1">
        <f t="array" ref="AU77">AU14/AU45</f>
      </c>
      <c r="AV77" s="285" cm="1">
        <f t="array" ref="AV77">AV14/AV45</f>
      </c>
      <c r="AW77" s="285" cm="1">
        <f t="array" ref="AW77">AW14/AW45</f>
      </c>
      <c r="AX77" s="285" cm="1">
        <f t="array" ref="AX77">AX14/AX45</f>
      </c>
      <c r="AY77" s="285" cm="1">
        <f t="array" ref="AY77">AY14/AY45</f>
      </c>
      <c r="AZ77" s="285" cm="1">
        <f t="array" ref="AZ77">AZ14/AZ45</f>
      </c>
      <c r="BA77" s="285" cm="1">
        <f t="array" ref="BA77">BA14/BA45</f>
      </c>
      <c r="BB77" s="285"/>
      <c r="BC77" s="285"/>
      <c r="BD77" s="290"/>
    </row>
    <row r="78" ht="15.75" customHeight="1">
      <c r="A78" s="197"/>
      <c r="B78" s="270">
        <v>6</v>
      </c>
      <c r="C78" t="s" s="276">
        <v>67</v>
      </c>
      <c r="D78" t="s" s="123">
        <v>11</v>
      </c>
      <c r="E78" t="s" s="124">
        <v>12</v>
      </c>
      <c r="F78" t="s" s="124">
        <v>13</v>
      </c>
      <c r="G78" t="s" s="124">
        <v>14</v>
      </c>
      <c r="H78" t="s" s="125">
        <v>15</v>
      </c>
      <c r="I78" t="s" s="126">
        <v>176</v>
      </c>
      <c r="J78" t="s" s="136">
        <v>17</v>
      </c>
      <c r="K78" s="13"/>
      <c r="L78" s="13"/>
      <c r="M78" s="13"/>
      <c r="N78" s="13"/>
      <c r="O78" s="13"/>
      <c r="P78" s="13"/>
      <c r="Q78" s="13"/>
      <c r="R78" s="13"/>
      <c r="S78" s="13"/>
      <c r="T78" s="111"/>
      <c r="U78" s="194">
        <v>8</v>
      </c>
      <c r="V78" t="s" s="212">
        <v>69</v>
      </c>
      <c r="W78" s="285" cm="1">
        <f t="array" ref="W78">W15/W46</f>
      </c>
      <c r="X78" s="285" cm="1">
        <f t="array" ref="X78">X15/X46</f>
      </c>
      <c r="Y78" s="285" cm="1">
        <f t="array" ref="Y78">Y15/Y46</f>
      </c>
      <c r="Z78" s="285" cm="1">
        <f t="array" ref="Z78">Z15/Z46</f>
      </c>
      <c r="AA78" s="285" cm="1">
        <f t="array" ref="AA78">AA15/AA46</f>
      </c>
      <c r="AB78" s="285" cm="1">
        <f t="array" ref="AB78">AB15/AB46</f>
      </c>
      <c r="AC78" s="285" cm="1">
        <f t="array" ref="AC78">AC15/AC46</f>
      </c>
      <c r="AD78" s="285" cm="1">
        <f t="array" ref="AD78">AD15/AD46</f>
      </c>
      <c r="AE78" s="285" cm="1">
        <f t="array" ref="AE78">AE15/AE46</f>
      </c>
      <c r="AF78" s="285" cm="1">
        <f t="array" ref="AF78">AF15/AF46</f>
      </c>
      <c r="AG78" s="285" cm="1">
        <f t="array" ref="AG78">AG15/AG46</f>
      </c>
      <c r="AH78" s="285" cm="1">
        <f t="array" ref="AH78">AH15/AH46</f>
      </c>
      <c r="AI78" s="285" cm="1">
        <f t="array" ref="AI78">AI15/AI46</f>
      </c>
      <c r="AJ78" s="285" cm="1">
        <f t="array" ref="AJ78">AJ15/AJ46</f>
      </c>
      <c r="AK78" s="285" cm="1">
        <f t="array" ref="AK78">AK15/AK46</f>
      </c>
      <c r="AL78" s="285" cm="1">
        <f t="array" ref="AL78">AL15/AL46</f>
      </c>
      <c r="AM78" s="285" cm="1">
        <f t="array" ref="AM78">AM15/AM46</f>
      </c>
      <c r="AN78" s="285" cm="1">
        <f t="array" ref="AN78">AN15/AN46</f>
      </c>
      <c r="AO78" s="285" cm="1">
        <f t="array" ref="AO78">AO15/AO46</f>
      </c>
      <c r="AP78" s="285" cm="1">
        <f t="array" ref="AP78">AP15/AP46</f>
      </c>
      <c r="AQ78" s="285" cm="1">
        <f t="array" ref="AQ78">AQ15/AQ46</f>
      </c>
      <c r="AR78" s="285" cm="1">
        <f t="array" ref="AR78">AR15/AR46</f>
      </c>
      <c r="AS78" s="285" cm="1">
        <f t="array" ref="AS78">AS15/AS46</f>
      </c>
      <c r="AT78" s="285" cm="1">
        <f t="array" ref="AT78">AT15/AT46</f>
      </c>
      <c r="AU78" s="285" cm="1">
        <f t="array" ref="AU78">AU15/AU46</f>
      </c>
      <c r="AV78" s="285" cm="1">
        <f t="array" ref="AV78">AV15/AV46</f>
      </c>
      <c r="AW78" s="285" cm="1">
        <f t="array" ref="AW78">AW15/AW46</f>
      </c>
      <c r="AX78" s="285" cm="1">
        <f t="array" ref="AX78">AX15/AX46</f>
      </c>
      <c r="AY78" s="285" cm="1">
        <f t="array" ref="AY78">AY15/AY46</f>
      </c>
      <c r="AZ78" s="285" cm="1">
        <f t="array" ref="AZ78">AZ15/AZ46</f>
      </c>
      <c r="BA78" s="285" cm="1">
        <f t="array" ref="BA78">BA15/BA46</f>
      </c>
      <c r="BB78" s="285"/>
      <c r="BC78" s="285"/>
      <c r="BD78" s="290"/>
    </row>
    <row r="79" ht="15.75" customHeight="1">
      <c r="A79" s="12"/>
      <c r="B79" s="120"/>
      <c r="C79" s="120"/>
      <c r="D79" s="128" cm="1">
        <f t="array" ref="D79">_xlfn.AVERAGEIF($W$6:$AZ$6,D75,$W$13:$AZ$13)</f>
        <v>1171.03</v>
      </c>
      <c r="E79" s="129" cm="1">
        <f t="array" ref="E79">_xlfn.AVERAGEIF($W$6:$AZ$6,E75,$W$13:$AZ$13)</f>
        <v>939.485</v>
      </c>
      <c r="F79" s="129" cm="1">
        <f t="array" ref="F79">_xlfn.AVERAGEIF($W$6:$AZ$6,F75,$W$13:$AZ$13)</f>
        <v>1086.918</v>
      </c>
      <c r="G79" s="129" cm="1">
        <f t="array" ref="G79">_xlfn.AVERAGEIF($W$6:$AZ$6,G75,$W$13:$AZ$13)</f>
        <v>987.068</v>
      </c>
      <c r="H79" s="129" cm="1">
        <f t="array" ref="H79">_xlfn.AVERAGEIF($W$6:$AZ$6,H75,$W$13:$AZ$13)</f>
        <v>1138.2925</v>
      </c>
      <c r="I79" s="130" cm="1">
        <f t="array" ref="I79">_xlfn.AVERAGEIF($W$6:$AZ$6,I75,$W$13:$AZ$13)</f>
        <v>1781.3175</v>
      </c>
      <c r="J79" s="131" cm="1">
        <f t="array" ref="J79">_xlfn.AVERAGEIF($W$6:$AZ$6,J75,$W$13:$AZ$13)</f>
        <v>965.33</v>
      </c>
      <c r="K79" s="13"/>
      <c r="L79" s="13"/>
      <c r="M79" s="13"/>
      <c r="N79" s="13"/>
      <c r="O79" s="13"/>
      <c r="P79" s="13"/>
      <c r="Q79" s="13"/>
      <c r="R79" s="13"/>
      <c r="S79" s="13"/>
      <c r="T79" s="111"/>
      <c r="U79" s="194">
        <v>9</v>
      </c>
      <c r="V79" t="s" s="212">
        <v>70</v>
      </c>
      <c r="W79" s="285" cm="1">
        <f t="array" ref="W79">W16/W47</f>
      </c>
      <c r="X79" s="285" cm="1">
        <f t="array" ref="X79">X16/X47</f>
      </c>
      <c r="Y79" s="285" cm="1">
        <f t="array" ref="Y79">Y16/Y47</f>
      </c>
      <c r="Z79" s="285" cm="1">
        <f t="array" ref="Z79">Z16/Z47</f>
      </c>
      <c r="AA79" s="285" cm="1">
        <f t="array" ref="AA79">AA16/AA47</f>
      </c>
      <c r="AB79" s="285" cm="1">
        <f t="array" ref="AB79">AB16/AB47</f>
      </c>
      <c r="AC79" s="285" cm="1">
        <f t="array" ref="AC79">AC16/AC47</f>
      </c>
      <c r="AD79" s="285" cm="1">
        <f t="array" ref="AD79">AD16/AD47</f>
      </c>
      <c r="AE79" s="285" cm="1">
        <f t="array" ref="AE79">AE16/AE47</f>
      </c>
      <c r="AF79" s="285" cm="1">
        <f t="array" ref="AF79">AF16/AF47</f>
      </c>
      <c r="AG79" s="285" cm="1">
        <f t="array" ref="AG79">AG16/AG47</f>
      </c>
      <c r="AH79" s="285" cm="1">
        <f t="array" ref="AH79">AH16/AH47</f>
      </c>
      <c r="AI79" s="285" cm="1">
        <f t="array" ref="AI79">AI16/AI47</f>
      </c>
      <c r="AJ79" s="285" cm="1">
        <f t="array" ref="AJ79">AJ16/AJ47</f>
      </c>
      <c r="AK79" s="285" cm="1">
        <f t="array" ref="AK79">AK16/AK47</f>
      </c>
      <c r="AL79" s="285" cm="1">
        <f t="array" ref="AL79">AL16/AL47</f>
      </c>
      <c r="AM79" s="285" cm="1">
        <f t="array" ref="AM79">AM16/AM47</f>
      </c>
      <c r="AN79" s="285" cm="1">
        <f t="array" ref="AN79">AN16/AN47</f>
      </c>
      <c r="AO79" s="285" cm="1">
        <f t="array" ref="AO79">AO16/AO47</f>
      </c>
      <c r="AP79" s="285" cm="1">
        <f t="array" ref="AP79">AP16/AP47</f>
      </c>
      <c r="AQ79" s="285" cm="1">
        <f t="array" ref="AQ79">AQ16/AQ47</f>
      </c>
      <c r="AR79" s="285" cm="1">
        <f t="array" ref="AR79">AR16/AR47</f>
      </c>
      <c r="AS79" s="285" cm="1">
        <f t="array" ref="AS79">AS16/AS47</f>
      </c>
      <c r="AT79" s="285" cm="1">
        <f t="array" ref="AT79">AT16/AT47</f>
      </c>
      <c r="AU79" s="285" cm="1">
        <f t="array" ref="AU79">AU16/AU47</f>
      </c>
      <c r="AV79" s="285" cm="1">
        <f t="array" ref="AV79">AV16/AV47</f>
      </c>
      <c r="AW79" s="285" cm="1">
        <f t="array" ref="AW79">AW16/AW47</f>
      </c>
      <c r="AX79" s="285" cm="1">
        <f t="array" ref="AX79">AX16/AX47</f>
      </c>
      <c r="AY79" s="285" cm="1">
        <f t="array" ref="AY79">AY16/AY47</f>
      </c>
      <c r="AZ79" s="285" cm="1">
        <f t="array" ref="AZ79">AZ16/AZ47</f>
      </c>
      <c r="BA79" s="285" cm="1">
        <f t="array" ref="BA79">BA16/BA47</f>
      </c>
      <c r="BB79" s="285"/>
      <c r="BC79" s="285"/>
      <c r="BD79" s="290"/>
    </row>
    <row r="80" ht="15.75" customHeight="1">
      <c r="A80" s="12"/>
      <c r="B80" s="47"/>
      <c r="C80" s="47"/>
      <c r="D80" t="s" s="132">
        <v>68</v>
      </c>
      <c r="E80" s="133"/>
      <c r="F80" s="133"/>
      <c r="G80" s="133"/>
      <c r="H80" s="133"/>
      <c r="I80" s="134"/>
      <c r="J80" s="13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01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7"/>
    </row>
    <row r="81" ht="15.75" customHeight="1">
      <c r="A81" s="197"/>
      <c r="B81" s="270">
        <v>7</v>
      </c>
      <c r="C81" t="s" s="276">
        <v>68</v>
      </c>
      <c r="D81" t="s" s="123">
        <v>11</v>
      </c>
      <c r="E81" t="s" s="124">
        <v>12</v>
      </c>
      <c r="F81" t="s" s="124">
        <v>13</v>
      </c>
      <c r="G81" t="s" s="124">
        <v>14</v>
      </c>
      <c r="H81" t="s" s="125">
        <v>15</v>
      </c>
      <c r="I81" t="s" s="126">
        <v>176</v>
      </c>
      <c r="J81" t="s" s="136">
        <v>17</v>
      </c>
      <c r="K81" s="13"/>
      <c r="L81" s="13"/>
      <c r="M81" s="13"/>
      <c r="N81" s="13"/>
      <c r="O81" s="13"/>
      <c r="P81" s="13"/>
      <c r="Q81" s="13"/>
      <c r="R81" s="13"/>
      <c r="S81" s="13"/>
      <c r="T81" s="111"/>
      <c r="U81" s="194">
        <v>1</v>
      </c>
      <c r="V81" t="s" s="237">
        <v>162</v>
      </c>
      <c r="W81" s="118" cm="1">
        <f t="array" ref="W81">D44</f>
        <v>90.266222047206</v>
      </c>
      <c r="X81" s="118" cm="1">
        <f t="array" ref="X81">W81</f>
        <v>90.266222047206</v>
      </c>
      <c r="Y81" s="118" cm="1">
        <f t="array" ref="Y81">X81</f>
        <v>90.266222047206</v>
      </c>
      <c r="Z81" s="118" cm="1">
        <f t="array" ref="Z81">Y81</f>
        <v>90.266222047206</v>
      </c>
      <c r="AA81" s="118" cm="1">
        <f t="array" ref="AA81">Z81</f>
        <v>90.266222047206</v>
      </c>
      <c r="AB81" s="118" cm="1">
        <f t="array" ref="AB81">AA81</f>
        <v>90.266222047206</v>
      </c>
      <c r="AC81" s="118" cm="1">
        <f t="array" ref="AC81">AB81</f>
        <v>90.266222047206</v>
      </c>
      <c r="AD81" s="118" cm="1">
        <f t="array" ref="AD81">AC81</f>
        <v>90.266222047206</v>
      </c>
      <c r="AE81" s="118" cm="1">
        <f t="array" ref="AE81">AD81</f>
        <v>90.266222047206</v>
      </c>
      <c r="AF81" s="118" cm="1">
        <f t="array" ref="AF81">AE81</f>
        <v>90.266222047206</v>
      </c>
      <c r="AG81" s="118" cm="1">
        <f t="array" ref="AG81">AF81</f>
        <v>90.266222047206</v>
      </c>
      <c r="AH81" s="118" cm="1">
        <f t="array" ref="AH81">AG81</f>
        <v>90.266222047206</v>
      </c>
      <c r="AI81" s="118" cm="1">
        <f t="array" ref="AI81">AH81</f>
        <v>90.266222047206</v>
      </c>
      <c r="AJ81" s="118" cm="1">
        <f t="array" ref="AJ81">AI81</f>
        <v>90.266222047206</v>
      </c>
      <c r="AK81" s="118" cm="1">
        <f t="array" ref="AK81">AJ81</f>
        <v>90.266222047206</v>
      </c>
      <c r="AL81" s="118" cm="1">
        <f t="array" ref="AL81">AK81</f>
        <v>90.266222047206</v>
      </c>
      <c r="AM81" s="118" cm="1">
        <f t="array" ref="AM81">AL81</f>
        <v>90.266222047206</v>
      </c>
      <c r="AN81" s="118" cm="1">
        <f t="array" ref="AN81">AM81</f>
        <v>90.266222047206</v>
      </c>
      <c r="AO81" s="118" cm="1">
        <f t="array" ref="AO81">AN81</f>
        <v>90.266222047206</v>
      </c>
      <c r="AP81" s="118" cm="1">
        <f t="array" ref="AP81">AO81</f>
        <v>90.266222047206</v>
      </c>
      <c r="AQ81" s="118" cm="1">
        <f t="array" ref="AQ81">AP81</f>
        <v>90.266222047206</v>
      </c>
      <c r="AR81" s="118" cm="1">
        <f t="array" ref="AR81">AQ81</f>
        <v>90.266222047206</v>
      </c>
      <c r="AS81" s="118" cm="1">
        <f t="array" ref="AS81">AR81</f>
        <v>90.266222047206</v>
      </c>
      <c r="AT81" s="118" cm="1">
        <f t="array" ref="AT81">AS81</f>
        <v>90.266222047206</v>
      </c>
      <c r="AU81" s="118" cm="1">
        <f t="array" ref="AU81">AT81</f>
        <v>90.266222047206</v>
      </c>
      <c r="AV81" s="118" cm="1">
        <f t="array" ref="AV81">AU81</f>
        <v>90.266222047206</v>
      </c>
      <c r="AW81" s="118" cm="1">
        <f t="array" ref="AW81">AV81</f>
        <v>90.266222047206</v>
      </c>
      <c r="AX81" s="118" cm="1">
        <f t="array" ref="AX81">AW81</f>
        <v>90.266222047206</v>
      </c>
      <c r="AY81" s="118" cm="1">
        <f t="array" ref="AY81">AX81</f>
        <v>90.266222047206</v>
      </c>
      <c r="AZ81" s="118" cm="1">
        <f t="array" ref="AZ81">AY81</f>
        <v>90.266222047206</v>
      </c>
      <c r="BA81" s="118" cm="1">
        <f t="array" ref="BA81">AZ81</f>
        <v>90.266222047206</v>
      </c>
      <c r="BB81" s="118"/>
      <c r="BC81" s="118"/>
      <c r="BD81" s="291"/>
    </row>
    <row r="82" ht="15.75" customHeight="1">
      <c r="A82" s="12"/>
      <c r="B82" s="120"/>
      <c r="C82" s="120"/>
      <c r="D82" s="128" cm="1">
        <f t="array" ref="D82">_xlfn.AVERAGEIF($W$6:$AZ$6,D78,$W$14:$AZ$14)</f>
        <v>2074.6825</v>
      </c>
      <c r="E82" s="129" cm="1">
        <f t="array" ref="E82">_xlfn.AVERAGEIF($W$6:$AZ$6,E78,$W$14:$AZ$14)</f>
        <v>1741.385</v>
      </c>
      <c r="F82" s="129" cm="1">
        <f t="array" ref="F82">_xlfn.AVERAGEIF($W$6:$AZ$6,F78,$W$14:$AZ$14)</f>
        <v>1539.982</v>
      </c>
      <c r="G82" s="129" cm="1">
        <f t="array" ref="G82">_xlfn.AVERAGEIF($W$6:$AZ$6,G78,$W$14:$AZ$14)</f>
        <v>1925.352</v>
      </c>
      <c r="H82" s="129" cm="1">
        <f t="array" ref="H82">_xlfn.AVERAGEIF($W$6:$AZ$6,H78,$W$14:$AZ$14)</f>
        <v>2074.7725</v>
      </c>
      <c r="I82" s="130" cm="1">
        <f t="array" ref="I82">_xlfn.AVERAGEIF($W$6:$AZ$6,I78,$W$14:$AZ$14)</f>
        <v>1121.4975</v>
      </c>
      <c r="J82" s="131" cm="1">
        <f t="array" ref="J82">_xlfn.AVERAGEIF($W$6:$AZ$6,J78,$W$14:$AZ$14)</f>
        <v>994.5775</v>
      </c>
      <c r="K82" s="13"/>
      <c r="L82" s="13"/>
      <c r="M82" s="13"/>
      <c r="N82" s="13"/>
      <c r="O82" s="13"/>
      <c r="P82" s="13"/>
      <c r="Q82" s="13"/>
      <c r="R82" s="13"/>
      <c r="S82" s="13"/>
      <c r="T82" s="111"/>
      <c r="U82" s="194">
        <v>2</v>
      </c>
      <c r="V82" t="s" s="94">
        <v>62</v>
      </c>
      <c r="W82" s="118" cm="1">
        <f t="array" ref="W82">D36</f>
        <v>100</v>
      </c>
      <c r="X82" s="118" cm="1">
        <f t="array" ref="X82">W82</f>
        <v>100</v>
      </c>
      <c r="Y82" s="118" cm="1">
        <f t="array" ref="Y82">X82</f>
        <v>100</v>
      </c>
      <c r="Z82" s="118" cm="1">
        <f t="array" ref="Z82">Y82</f>
        <v>100</v>
      </c>
      <c r="AA82" s="118" cm="1">
        <f t="array" ref="AA82">Z82</f>
        <v>100</v>
      </c>
      <c r="AB82" s="118" cm="1">
        <f t="array" ref="AB82">AA82</f>
        <v>100</v>
      </c>
      <c r="AC82" s="118" cm="1">
        <f t="array" ref="AC82">AB82</f>
        <v>100</v>
      </c>
      <c r="AD82" s="118" cm="1">
        <f t="array" ref="AD82">AC82</f>
        <v>100</v>
      </c>
      <c r="AE82" s="118" cm="1">
        <f t="array" ref="AE82">AD82</f>
        <v>100</v>
      </c>
      <c r="AF82" s="118" cm="1">
        <f t="array" ref="AF82">AE82</f>
        <v>100</v>
      </c>
      <c r="AG82" s="118" cm="1">
        <f t="array" ref="AG82">AF82</f>
        <v>100</v>
      </c>
      <c r="AH82" s="118" cm="1">
        <f t="array" ref="AH82">AG82</f>
        <v>100</v>
      </c>
      <c r="AI82" s="118" cm="1">
        <f t="array" ref="AI82">AH82</f>
        <v>100</v>
      </c>
      <c r="AJ82" s="118" cm="1">
        <f t="array" ref="AJ82">AI82</f>
        <v>100</v>
      </c>
      <c r="AK82" s="118" cm="1">
        <f t="array" ref="AK82">AJ82</f>
        <v>100</v>
      </c>
      <c r="AL82" s="118" cm="1">
        <f t="array" ref="AL82">AK82</f>
        <v>100</v>
      </c>
      <c r="AM82" s="118" cm="1">
        <f t="array" ref="AM82">AL82</f>
        <v>100</v>
      </c>
      <c r="AN82" s="118" cm="1">
        <f t="array" ref="AN82">AM82</f>
        <v>100</v>
      </c>
      <c r="AO82" s="118" cm="1">
        <f t="array" ref="AO82">AN82</f>
        <v>100</v>
      </c>
      <c r="AP82" s="118" cm="1">
        <f t="array" ref="AP82">AO82</f>
        <v>100</v>
      </c>
      <c r="AQ82" s="118" cm="1">
        <f t="array" ref="AQ82">AP82</f>
        <v>100</v>
      </c>
      <c r="AR82" s="118" cm="1">
        <f t="array" ref="AR82">AQ82</f>
        <v>100</v>
      </c>
      <c r="AS82" s="118" cm="1">
        <f t="array" ref="AS82">AR82</f>
        <v>100</v>
      </c>
      <c r="AT82" s="118" cm="1">
        <f t="array" ref="AT82">AS82</f>
        <v>100</v>
      </c>
      <c r="AU82" s="118" cm="1">
        <f t="array" ref="AU82">AT82</f>
        <v>100</v>
      </c>
      <c r="AV82" s="118" cm="1">
        <f t="array" ref="AV82">AU82</f>
        <v>100</v>
      </c>
      <c r="AW82" s="118" cm="1">
        <f t="array" ref="AW82">AV82</f>
        <v>100</v>
      </c>
      <c r="AX82" s="118" cm="1">
        <f t="array" ref="AX82">AW82</f>
        <v>100</v>
      </c>
      <c r="AY82" s="118" cm="1">
        <f t="array" ref="AY82">AX82</f>
        <v>100</v>
      </c>
      <c r="AZ82" s="118" cm="1">
        <f t="array" ref="AZ82">AY82</f>
        <v>100</v>
      </c>
      <c r="BA82" s="118" cm="1">
        <f t="array" ref="BA82">AZ82</f>
        <v>100</v>
      </c>
      <c r="BB82" s="13"/>
      <c r="BC82" s="13"/>
      <c r="BD82" s="17"/>
    </row>
    <row r="83" ht="15.75" customHeight="1">
      <c r="A83" s="12"/>
      <c r="B83" s="47"/>
      <c r="C83" s="47"/>
      <c r="D83" t="s" s="132">
        <v>69</v>
      </c>
      <c r="E83" s="133"/>
      <c r="F83" s="133"/>
      <c r="G83" s="133"/>
      <c r="H83" s="133"/>
      <c r="I83" s="134"/>
      <c r="J83" s="133"/>
      <c r="K83" s="13"/>
      <c r="L83" s="13"/>
      <c r="M83" s="13"/>
      <c r="N83" s="13"/>
      <c r="O83" s="13"/>
      <c r="P83" s="13"/>
      <c r="Q83" s="13"/>
      <c r="R83" s="13"/>
      <c r="S83" s="13"/>
      <c r="T83" s="111"/>
      <c r="U83" s="194">
        <v>3</v>
      </c>
      <c r="V83" t="s" s="94">
        <v>64</v>
      </c>
      <c r="W83" s="118" cm="1">
        <f t="array" ref="W83">D37</f>
        <v>70</v>
      </c>
      <c r="X83" s="118" cm="1">
        <f t="array" ref="X83">W83</f>
        <v>70</v>
      </c>
      <c r="Y83" s="118" cm="1">
        <f t="array" ref="Y83">X83</f>
        <v>70</v>
      </c>
      <c r="Z83" s="118" cm="1">
        <f t="array" ref="Z83">Y83</f>
        <v>70</v>
      </c>
      <c r="AA83" s="118" cm="1">
        <f t="array" ref="AA83">Z83</f>
        <v>70</v>
      </c>
      <c r="AB83" s="118" cm="1">
        <f t="array" ref="AB83">AA83</f>
        <v>70</v>
      </c>
      <c r="AC83" s="118" cm="1">
        <f t="array" ref="AC83">AB83</f>
        <v>70</v>
      </c>
      <c r="AD83" s="118" cm="1">
        <f t="array" ref="AD83">AC83</f>
        <v>70</v>
      </c>
      <c r="AE83" s="118" cm="1">
        <f t="array" ref="AE83">AD83</f>
        <v>70</v>
      </c>
      <c r="AF83" s="118" cm="1">
        <f t="array" ref="AF83">AE83</f>
        <v>70</v>
      </c>
      <c r="AG83" s="118" cm="1">
        <f t="array" ref="AG83">AF83</f>
        <v>70</v>
      </c>
      <c r="AH83" s="118" cm="1">
        <f t="array" ref="AH83">AG83</f>
        <v>70</v>
      </c>
      <c r="AI83" s="118" cm="1">
        <f t="array" ref="AI83">AH83</f>
        <v>70</v>
      </c>
      <c r="AJ83" s="118" cm="1">
        <f t="array" ref="AJ83">AI83</f>
        <v>70</v>
      </c>
      <c r="AK83" s="118" cm="1">
        <f t="array" ref="AK83">AJ83</f>
        <v>70</v>
      </c>
      <c r="AL83" s="118" cm="1">
        <f t="array" ref="AL83">AK83</f>
        <v>70</v>
      </c>
      <c r="AM83" s="118" cm="1">
        <f t="array" ref="AM83">AL83</f>
        <v>70</v>
      </c>
      <c r="AN83" s="118" cm="1">
        <f t="array" ref="AN83">AM83</f>
        <v>70</v>
      </c>
      <c r="AO83" s="118" cm="1">
        <f t="array" ref="AO83">AN83</f>
        <v>70</v>
      </c>
      <c r="AP83" s="118" cm="1">
        <f t="array" ref="AP83">AO83</f>
        <v>70</v>
      </c>
      <c r="AQ83" s="118" cm="1">
        <f t="array" ref="AQ83">AP83</f>
        <v>70</v>
      </c>
      <c r="AR83" s="118" cm="1">
        <f t="array" ref="AR83">AQ83</f>
        <v>70</v>
      </c>
      <c r="AS83" s="118" cm="1">
        <f t="array" ref="AS83">AR83</f>
        <v>70</v>
      </c>
      <c r="AT83" s="118" cm="1">
        <f t="array" ref="AT83">AS83</f>
        <v>70</v>
      </c>
      <c r="AU83" s="118" cm="1">
        <f t="array" ref="AU83">AT83</f>
        <v>70</v>
      </c>
      <c r="AV83" s="118" cm="1">
        <f t="array" ref="AV83">AU83</f>
        <v>70</v>
      </c>
      <c r="AW83" s="118" cm="1">
        <f t="array" ref="AW83">AV83</f>
        <v>70</v>
      </c>
      <c r="AX83" s="118" cm="1">
        <f t="array" ref="AX83">AW83</f>
        <v>70</v>
      </c>
      <c r="AY83" s="118" cm="1">
        <f t="array" ref="AY83">AX83</f>
        <v>70</v>
      </c>
      <c r="AZ83" s="118" cm="1">
        <f t="array" ref="AZ83">AY83</f>
        <v>70</v>
      </c>
      <c r="BA83" s="118" cm="1">
        <f t="array" ref="BA83">AZ83</f>
        <v>70</v>
      </c>
      <c r="BB83" s="13"/>
      <c r="BC83" s="13"/>
      <c r="BD83" s="17"/>
    </row>
    <row r="84" ht="15.75" customHeight="1">
      <c r="A84" s="197"/>
      <c r="B84" s="270">
        <v>8</v>
      </c>
      <c r="C84" t="s" s="276">
        <v>69</v>
      </c>
      <c r="D84" t="s" s="123">
        <v>11</v>
      </c>
      <c r="E84" t="s" s="124">
        <v>12</v>
      </c>
      <c r="F84" t="s" s="124">
        <v>13</v>
      </c>
      <c r="G84" t="s" s="124">
        <v>14</v>
      </c>
      <c r="H84" t="s" s="292">
        <v>15</v>
      </c>
      <c r="I84" t="s" s="126">
        <v>176</v>
      </c>
      <c r="J84" t="s" s="293">
        <v>17</v>
      </c>
      <c r="K84" s="13"/>
      <c r="L84" s="13"/>
      <c r="M84" s="13"/>
      <c r="N84" s="13"/>
      <c r="O84" s="13"/>
      <c r="P84" s="13"/>
      <c r="Q84" s="13"/>
      <c r="R84" s="13"/>
      <c r="S84" s="13"/>
      <c r="T84" s="111"/>
      <c r="U84" s="194">
        <v>4</v>
      </c>
      <c r="V84" t="s" s="94">
        <v>65</v>
      </c>
      <c r="W84" s="118" cm="1">
        <f t="array" ref="W84">D38</f>
        <v>120</v>
      </c>
      <c r="X84" s="118" cm="1">
        <f t="array" ref="X84">W84</f>
        <v>120</v>
      </c>
      <c r="Y84" s="118" cm="1">
        <f t="array" ref="Y84">X84</f>
        <v>120</v>
      </c>
      <c r="Z84" s="118" cm="1">
        <f t="array" ref="Z84">Y84</f>
        <v>120</v>
      </c>
      <c r="AA84" s="118" cm="1">
        <f t="array" ref="AA84">Z84</f>
        <v>120</v>
      </c>
      <c r="AB84" s="118" cm="1">
        <f t="array" ref="AB84">AA84</f>
        <v>120</v>
      </c>
      <c r="AC84" s="118" cm="1">
        <f t="array" ref="AC84">AB84</f>
        <v>120</v>
      </c>
      <c r="AD84" s="118" cm="1">
        <f t="array" ref="AD84">AC84</f>
        <v>120</v>
      </c>
      <c r="AE84" s="118" cm="1">
        <f t="array" ref="AE84">AD84</f>
        <v>120</v>
      </c>
      <c r="AF84" s="118" cm="1">
        <f t="array" ref="AF84">AE84</f>
        <v>120</v>
      </c>
      <c r="AG84" s="118" cm="1">
        <f t="array" ref="AG84">AF84</f>
        <v>120</v>
      </c>
      <c r="AH84" s="118" cm="1">
        <f t="array" ref="AH84">AG84</f>
        <v>120</v>
      </c>
      <c r="AI84" s="118" cm="1">
        <f t="array" ref="AI84">AH84</f>
        <v>120</v>
      </c>
      <c r="AJ84" s="118" cm="1">
        <f t="array" ref="AJ84">AI84</f>
        <v>120</v>
      </c>
      <c r="AK84" s="118" cm="1">
        <f t="array" ref="AK84">AJ84</f>
        <v>120</v>
      </c>
      <c r="AL84" s="118" cm="1">
        <f t="array" ref="AL84">AK84</f>
        <v>120</v>
      </c>
      <c r="AM84" s="118" cm="1">
        <f t="array" ref="AM84">AL84</f>
        <v>120</v>
      </c>
      <c r="AN84" s="118" cm="1">
        <f t="array" ref="AN84">AM84</f>
        <v>120</v>
      </c>
      <c r="AO84" s="118" cm="1">
        <f t="array" ref="AO84">AN84</f>
        <v>120</v>
      </c>
      <c r="AP84" s="118" cm="1">
        <f t="array" ref="AP84">AO84</f>
        <v>120</v>
      </c>
      <c r="AQ84" s="118" cm="1">
        <f t="array" ref="AQ84">AP84</f>
        <v>120</v>
      </c>
      <c r="AR84" s="118" cm="1">
        <f t="array" ref="AR84">AQ84</f>
        <v>120</v>
      </c>
      <c r="AS84" s="118" cm="1">
        <f t="array" ref="AS84">AR84</f>
        <v>120</v>
      </c>
      <c r="AT84" s="118" cm="1">
        <f t="array" ref="AT84">AS84</f>
        <v>120</v>
      </c>
      <c r="AU84" s="118" cm="1">
        <f t="array" ref="AU84">AT84</f>
        <v>120</v>
      </c>
      <c r="AV84" s="118" cm="1">
        <f t="array" ref="AV84">AU84</f>
        <v>120</v>
      </c>
      <c r="AW84" s="118" cm="1">
        <f t="array" ref="AW84">AV84</f>
        <v>120</v>
      </c>
      <c r="AX84" s="118" cm="1">
        <f t="array" ref="AX84">AW84</f>
        <v>120</v>
      </c>
      <c r="AY84" s="118" cm="1">
        <f t="array" ref="AY84">AX84</f>
        <v>120</v>
      </c>
      <c r="AZ84" s="118" cm="1">
        <f t="array" ref="AZ84">AY84</f>
        <v>120</v>
      </c>
      <c r="BA84" s="118" cm="1">
        <f t="array" ref="BA84">AZ84</f>
        <v>120</v>
      </c>
      <c r="BB84" s="13"/>
      <c r="BC84" s="13"/>
      <c r="BD84" s="17"/>
    </row>
    <row r="85" ht="15.75" customHeight="1">
      <c r="A85" s="12"/>
      <c r="B85" s="120"/>
      <c r="C85" s="120"/>
      <c r="D85" s="128" cm="1">
        <f t="array" ref="D85">_xlfn.AVERAGEIF($W$6:$AZ$6,D81,$W$15:$AZ$15)</f>
        <v>1865.495</v>
      </c>
      <c r="E85" s="129" cm="1">
        <f t="array" ref="E85">_xlfn.AVERAGEIF($W$6:$AZ$6,E81,$W$15:$AZ$15)</f>
        <v>2428.055</v>
      </c>
      <c r="F85" s="129" cm="1">
        <f t="array" ref="F85">_xlfn.AVERAGEIF($W$6:$AZ$6,F81,$W$15:$AZ$15)</f>
        <v>2579.442</v>
      </c>
      <c r="G85" s="129" cm="1">
        <f t="array" ref="G85">_xlfn.AVERAGEIF($W$6:$AZ$6,G81,$W$15:$AZ$15)</f>
        <v>2537.008</v>
      </c>
      <c r="H85" s="294" cm="1">
        <f t="array" ref="H85">_xlfn.AVERAGEIF($W$6:$AZ$6,H81,$W$15:$AZ$15)</f>
        <v>1695.9225</v>
      </c>
      <c r="I85" s="129" cm="1">
        <f t="array" ref="I85">_xlfn.AVERAGEIF($W$6:$AZ$6,I81,$W$15:$AZ$15)</f>
        <v>1835.2475</v>
      </c>
      <c r="J85" s="294" cm="1">
        <f t="array" ref="J85">_xlfn.AVERAGEIF($W$6:$AZ$6,J81,$W$15:$AZ$15)</f>
        <v>1266.0575</v>
      </c>
      <c r="K85" s="269"/>
      <c r="L85" s="13"/>
      <c r="M85" s="13"/>
      <c r="N85" s="13"/>
      <c r="O85" s="13"/>
      <c r="P85" s="13"/>
      <c r="Q85" s="13"/>
      <c r="R85" s="13"/>
      <c r="S85" s="13"/>
      <c r="T85" s="111"/>
      <c r="U85" s="194">
        <v>5</v>
      </c>
      <c r="V85" t="s" s="94">
        <v>66</v>
      </c>
      <c r="W85" s="118" cm="1">
        <f t="array" ref="W85">D39</f>
        <v>70</v>
      </c>
      <c r="X85" s="118" cm="1">
        <f t="array" ref="X85">W85</f>
        <v>70</v>
      </c>
      <c r="Y85" s="118" cm="1">
        <f t="array" ref="Y85">X85</f>
        <v>70</v>
      </c>
      <c r="Z85" s="118" cm="1">
        <f t="array" ref="Z85">Y85</f>
        <v>70</v>
      </c>
      <c r="AA85" s="118" cm="1">
        <f t="array" ref="AA85">Z85</f>
        <v>70</v>
      </c>
      <c r="AB85" s="118" cm="1">
        <f t="array" ref="AB85">AA85</f>
        <v>70</v>
      </c>
      <c r="AC85" s="118" cm="1">
        <f t="array" ref="AC85">AB85</f>
        <v>70</v>
      </c>
      <c r="AD85" s="118" cm="1">
        <f t="array" ref="AD85">AC85</f>
        <v>70</v>
      </c>
      <c r="AE85" s="118" cm="1">
        <f t="array" ref="AE85">AD85</f>
        <v>70</v>
      </c>
      <c r="AF85" s="118" cm="1">
        <f t="array" ref="AF85">AE85</f>
        <v>70</v>
      </c>
      <c r="AG85" s="118" cm="1">
        <f t="array" ref="AG85">AF85</f>
        <v>70</v>
      </c>
      <c r="AH85" s="118" cm="1">
        <f t="array" ref="AH85">AG85</f>
        <v>70</v>
      </c>
      <c r="AI85" s="118" cm="1">
        <f t="array" ref="AI85">AH85</f>
        <v>70</v>
      </c>
      <c r="AJ85" s="118" cm="1">
        <f t="array" ref="AJ85">AI85</f>
        <v>70</v>
      </c>
      <c r="AK85" s="118" cm="1">
        <f t="array" ref="AK85">AJ85</f>
        <v>70</v>
      </c>
      <c r="AL85" s="118" cm="1">
        <f t="array" ref="AL85">AK85</f>
        <v>70</v>
      </c>
      <c r="AM85" s="118" cm="1">
        <f t="array" ref="AM85">AL85</f>
        <v>70</v>
      </c>
      <c r="AN85" s="118" cm="1">
        <f t="array" ref="AN85">AM85</f>
        <v>70</v>
      </c>
      <c r="AO85" s="118" cm="1">
        <f t="array" ref="AO85">AN85</f>
        <v>70</v>
      </c>
      <c r="AP85" s="118" cm="1">
        <f t="array" ref="AP85">AO85</f>
        <v>70</v>
      </c>
      <c r="AQ85" s="118" cm="1">
        <f t="array" ref="AQ85">AP85</f>
        <v>70</v>
      </c>
      <c r="AR85" s="118" cm="1">
        <f t="array" ref="AR85">AQ85</f>
        <v>70</v>
      </c>
      <c r="AS85" s="118" cm="1">
        <f t="array" ref="AS85">AR85</f>
        <v>70</v>
      </c>
      <c r="AT85" s="118" cm="1">
        <f t="array" ref="AT85">AS85</f>
        <v>70</v>
      </c>
      <c r="AU85" s="118" cm="1">
        <f t="array" ref="AU85">AT85</f>
        <v>70</v>
      </c>
      <c r="AV85" s="118" cm="1">
        <f t="array" ref="AV85">AU85</f>
        <v>70</v>
      </c>
      <c r="AW85" s="118" cm="1">
        <f t="array" ref="AW85">AV85</f>
        <v>70</v>
      </c>
      <c r="AX85" s="118" cm="1">
        <f t="array" ref="AX85">AW85</f>
        <v>70</v>
      </c>
      <c r="AY85" s="118" cm="1">
        <f t="array" ref="AY85">AX85</f>
        <v>70</v>
      </c>
      <c r="AZ85" s="118" cm="1">
        <f t="array" ref="AZ85">AY85</f>
        <v>70</v>
      </c>
      <c r="BA85" s="118" cm="1">
        <f t="array" ref="BA85">AZ85</f>
        <v>70</v>
      </c>
      <c r="BB85" s="13"/>
      <c r="BC85" s="13"/>
      <c r="BD85" s="17"/>
    </row>
    <row r="86" ht="15.75" customHeight="1">
      <c r="A86" s="12"/>
      <c r="B86" s="47"/>
      <c r="C86" s="4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11"/>
      <c r="U86" s="194">
        <v>6</v>
      </c>
      <c r="V86" t="s" s="94">
        <v>67</v>
      </c>
      <c r="W86" s="118" cm="1">
        <f t="array" ref="W86">D40</f>
        <v>50</v>
      </c>
      <c r="X86" s="118" cm="1">
        <f t="array" ref="X86">W86</f>
        <v>50</v>
      </c>
      <c r="Y86" s="118" cm="1">
        <f t="array" ref="Y86">X86</f>
        <v>50</v>
      </c>
      <c r="Z86" s="118" cm="1">
        <f t="array" ref="Z86">Y86</f>
        <v>50</v>
      </c>
      <c r="AA86" s="118" cm="1">
        <f t="array" ref="AA86">Z86</f>
        <v>50</v>
      </c>
      <c r="AB86" s="118" cm="1">
        <f t="array" ref="AB86">AA86</f>
        <v>50</v>
      </c>
      <c r="AC86" s="118" cm="1">
        <f t="array" ref="AC86">AB86</f>
        <v>50</v>
      </c>
      <c r="AD86" s="118" cm="1">
        <f t="array" ref="AD86">AC86</f>
        <v>50</v>
      </c>
      <c r="AE86" s="118" cm="1">
        <f t="array" ref="AE86">AD86</f>
        <v>50</v>
      </c>
      <c r="AF86" s="118" cm="1">
        <f t="array" ref="AF86">AE86</f>
        <v>50</v>
      </c>
      <c r="AG86" s="118" cm="1">
        <f t="array" ref="AG86">AF86</f>
        <v>50</v>
      </c>
      <c r="AH86" s="118" cm="1">
        <f t="array" ref="AH86">AG86</f>
        <v>50</v>
      </c>
      <c r="AI86" s="118" cm="1">
        <f t="array" ref="AI86">AH86</f>
        <v>50</v>
      </c>
      <c r="AJ86" s="118" cm="1">
        <f t="array" ref="AJ86">AI86</f>
        <v>50</v>
      </c>
      <c r="AK86" s="118" cm="1">
        <f t="array" ref="AK86">AJ86</f>
        <v>50</v>
      </c>
      <c r="AL86" s="118" cm="1">
        <f t="array" ref="AL86">AK86</f>
        <v>50</v>
      </c>
      <c r="AM86" s="118" cm="1">
        <f t="array" ref="AM86">AL86</f>
        <v>50</v>
      </c>
      <c r="AN86" s="118" cm="1">
        <f t="array" ref="AN86">AM86</f>
        <v>50</v>
      </c>
      <c r="AO86" s="118" cm="1">
        <f t="array" ref="AO86">AN86</f>
        <v>50</v>
      </c>
      <c r="AP86" s="118" cm="1">
        <f t="array" ref="AP86">AO86</f>
        <v>50</v>
      </c>
      <c r="AQ86" s="118" cm="1">
        <f t="array" ref="AQ86">AP86</f>
        <v>50</v>
      </c>
      <c r="AR86" s="118" cm="1">
        <f t="array" ref="AR86">AQ86</f>
        <v>50</v>
      </c>
      <c r="AS86" s="118" cm="1">
        <f t="array" ref="AS86">AR86</f>
        <v>50</v>
      </c>
      <c r="AT86" s="118" cm="1">
        <f t="array" ref="AT86">AS86</f>
        <v>50</v>
      </c>
      <c r="AU86" s="118" cm="1">
        <f t="array" ref="AU86">AT86</f>
        <v>50</v>
      </c>
      <c r="AV86" s="118" cm="1">
        <f t="array" ref="AV86">AU86</f>
        <v>50</v>
      </c>
      <c r="AW86" s="118" cm="1">
        <f t="array" ref="AW86">AV86</f>
        <v>50</v>
      </c>
      <c r="AX86" s="118" cm="1">
        <f t="array" ref="AX86">AW86</f>
        <v>50</v>
      </c>
      <c r="AY86" s="118" cm="1">
        <f t="array" ref="AY86">AX86</f>
        <v>50</v>
      </c>
      <c r="AZ86" s="118" cm="1">
        <f t="array" ref="AZ86">AY86</f>
        <v>50</v>
      </c>
      <c r="BA86" s="118" cm="1">
        <f t="array" ref="BA86">AZ86</f>
        <v>50</v>
      </c>
      <c r="BB86" s="13"/>
      <c r="BC86" s="13"/>
      <c r="BD86" s="17"/>
    </row>
    <row r="87" ht="15.75" customHeight="1">
      <c r="A87" s="197"/>
      <c r="B87" s="270">
        <v>9</v>
      </c>
      <c r="C87" t="s" s="276">
        <v>70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11"/>
      <c r="U87" s="194">
        <v>7</v>
      </c>
      <c r="V87" t="s" s="94">
        <v>68</v>
      </c>
      <c r="W87" s="118" cm="1">
        <f t="array" ref="W87">D41</f>
        <v>50</v>
      </c>
      <c r="X87" s="118" cm="1">
        <f t="array" ref="X87">W87</f>
        <v>50</v>
      </c>
      <c r="Y87" s="118" cm="1">
        <f t="array" ref="Y87">X87</f>
        <v>50</v>
      </c>
      <c r="Z87" s="118" cm="1">
        <f t="array" ref="Z87">Y87</f>
        <v>50</v>
      </c>
      <c r="AA87" s="118" cm="1">
        <f t="array" ref="AA87">Z87</f>
        <v>50</v>
      </c>
      <c r="AB87" s="118" cm="1">
        <f t="array" ref="AB87">AA87</f>
        <v>50</v>
      </c>
      <c r="AC87" s="118" cm="1">
        <f t="array" ref="AC87">AB87</f>
        <v>50</v>
      </c>
      <c r="AD87" s="118" cm="1">
        <f t="array" ref="AD87">AC87</f>
        <v>50</v>
      </c>
      <c r="AE87" s="118" cm="1">
        <f t="array" ref="AE87">AD87</f>
        <v>50</v>
      </c>
      <c r="AF87" s="118" cm="1">
        <f t="array" ref="AF87">AE87</f>
        <v>50</v>
      </c>
      <c r="AG87" s="118" cm="1">
        <f t="array" ref="AG87">AF87</f>
        <v>50</v>
      </c>
      <c r="AH87" s="118" cm="1">
        <f t="array" ref="AH87">AG87</f>
        <v>50</v>
      </c>
      <c r="AI87" s="118" cm="1">
        <f t="array" ref="AI87">AH87</f>
        <v>50</v>
      </c>
      <c r="AJ87" s="118" cm="1">
        <f t="array" ref="AJ87">AI87</f>
        <v>50</v>
      </c>
      <c r="AK87" s="118" cm="1">
        <f t="array" ref="AK87">AJ87</f>
        <v>50</v>
      </c>
      <c r="AL87" s="118" cm="1">
        <f t="array" ref="AL87">AK87</f>
        <v>50</v>
      </c>
      <c r="AM87" s="118" cm="1">
        <f t="array" ref="AM87">AL87</f>
        <v>50</v>
      </c>
      <c r="AN87" s="118" cm="1">
        <f t="array" ref="AN87">AM87</f>
        <v>50</v>
      </c>
      <c r="AO87" s="118" cm="1">
        <f t="array" ref="AO87">AN87</f>
        <v>50</v>
      </c>
      <c r="AP87" s="118" cm="1">
        <f t="array" ref="AP87">AO87</f>
        <v>50</v>
      </c>
      <c r="AQ87" s="118" cm="1">
        <f t="array" ref="AQ87">AP87</f>
        <v>50</v>
      </c>
      <c r="AR87" s="118" cm="1">
        <f t="array" ref="AR87">AQ87</f>
        <v>50</v>
      </c>
      <c r="AS87" s="118" cm="1">
        <f t="array" ref="AS87">AR87</f>
        <v>50</v>
      </c>
      <c r="AT87" s="118" cm="1">
        <f t="array" ref="AT87">AS87</f>
        <v>50</v>
      </c>
      <c r="AU87" s="118" cm="1">
        <f t="array" ref="AU87">AT87</f>
        <v>50</v>
      </c>
      <c r="AV87" s="118" cm="1">
        <f t="array" ref="AV87">AU87</f>
        <v>50</v>
      </c>
      <c r="AW87" s="118" cm="1">
        <f t="array" ref="AW87">AV87</f>
        <v>50</v>
      </c>
      <c r="AX87" s="118" cm="1">
        <f t="array" ref="AX87">AW87</f>
        <v>50</v>
      </c>
      <c r="AY87" s="118" cm="1">
        <f t="array" ref="AY87">AX87</f>
        <v>50</v>
      </c>
      <c r="AZ87" s="118" cm="1">
        <f t="array" ref="AZ87">AY87</f>
        <v>50</v>
      </c>
      <c r="BA87" s="118" cm="1">
        <f t="array" ref="BA87">AZ87</f>
        <v>50</v>
      </c>
      <c r="BB87" s="13"/>
      <c r="BC87" s="13"/>
      <c r="BD87" s="17"/>
    </row>
    <row r="88" ht="15.75" customHeight="1">
      <c r="A88" s="12"/>
      <c r="B88" s="120"/>
      <c r="C88" s="120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11"/>
      <c r="U88" s="194">
        <v>8</v>
      </c>
      <c r="V88" t="s" s="94">
        <v>69</v>
      </c>
      <c r="W88" s="118" cm="1">
        <f t="array" ref="W88">D42</f>
        <v>50</v>
      </c>
      <c r="X88" s="118" cm="1">
        <f t="array" ref="X88">W88</f>
        <v>50</v>
      </c>
      <c r="Y88" s="118" cm="1">
        <f t="array" ref="Y88">X88</f>
        <v>50</v>
      </c>
      <c r="Z88" s="118" cm="1">
        <f t="array" ref="Z88">Y88</f>
        <v>50</v>
      </c>
      <c r="AA88" s="118" cm="1">
        <f t="array" ref="AA88">Z88</f>
        <v>50</v>
      </c>
      <c r="AB88" s="118" cm="1">
        <f t="array" ref="AB88">AA88</f>
        <v>50</v>
      </c>
      <c r="AC88" s="118" cm="1">
        <f t="array" ref="AC88">AB88</f>
        <v>50</v>
      </c>
      <c r="AD88" s="118" cm="1">
        <f t="array" ref="AD88">AC88</f>
        <v>50</v>
      </c>
      <c r="AE88" s="118" cm="1">
        <f t="array" ref="AE88">AD88</f>
        <v>50</v>
      </c>
      <c r="AF88" s="118" cm="1">
        <f t="array" ref="AF88">AE88</f>
        <v>50</v>
      </c>
      <c r="AG88" s="118" cm="1">
        <f t="array" ref="AG88">AF88</f>
        <v>50</v>
      </c>
      <c r="AH88" s="118" cm="1">
        <f t="array" ref="AH88">AG88</f>
        <v>50</v>
      </c>
      <c r="AI88" s="118" cm="1">
        <f t="array" ref="AI88">AH88</f>
        <v>50</v>
      </c>
      <c r="AJ88" s="118" cm="1">
        <f t="array" ref="AJ88">AI88</f>
        <v>50</v>
      </c>
      <c r="AK88" s="118" cm="1">
        <f t="array" ref="AK88">AJ88</f>
        <v>50</v>
      </c>
      <c r="AL88" s="118" cm="1">
        <f t="array" ref="AL88">AK88</f>
        <v>50</v>
      </c>
      <c r="AM88" s="118" cm="1">
        <f t="array" ref="AM88">AL88</f>
        <v>50</v>
      </c>
      <c r="AN88" s="118" cm="1">
        <f t="array" ref="AN88">AM88</f>
        <v>50</v>
      </c>
      <c r="AO88" s="118" cm="1">
        <f t="array" ref="AO88">AN88</f>
        <v>50</v>
      </c>
      <c r="AP88" s="118" cm="1">
        <f t="array" ref="AP88">AO88</f>
        <v>50</v>
      </c>
      <c r="AQ88" s="118" cm="1">
        <f t="array" ref="AQ88">AP88</f>
        <v>50</v>
      </c>
      <c r="AR88" s="118" cm="1">
        <f t="array" ref="AR88">AQ88</f>
        <v>50</v>
      </c>
      <c r="AS88" s="118" cm="1">
        <f t="array" ref="AS88">AR88</f>
        <v>50</v>
      </c>
      <c r="AT88" s="118" cm="1">
        <f t="array" ref="AT88">AS88</f>
        <v>50</v>
      </c>
      <c r="AU88" s="118" cm="1">
        <f t="array" ref="AU88">AT88</f>
        <v>50</v>
      </c>
      <c r="AV88" s="118" cm="1">
        <f t="array" ref="AV88">AU88</f>
        <v>50</v>
      </c>
      <c r="AW88" s="118" cm="1">
        <f t="array" ref="AW88">AV88</f>
        <v>50</v>
      </c>
      <c r="AX88" s="118" cm="1">
        <f t="array" ref="AX88">AW88</f>
        <v>50</v>
      </c>
      <c r="AY88" s="118" cm="1">
        <f t="array" ref="AY88">AX88</f>
        <v>50</v>
      </c>
      <c r="AZ88" s="118" cm="1">
        <f t="array" ref="AZ88">AY88</f>
        <v>50</v>
      </c>
      <c r="BA88" s="118" cm="1">
        <f t="array" ref="BA88">AZ88</f>
        <v>50</v>
      </c>
      <c r="BB88" s="13"/>
      <c r="BC88" s="13"/>
      <c r="BD88" s="17"/>
    </row>
    <row r="89" ht="15.75" customHeight="1">
      <c r="A89" s="12"/>
      <c r="B89" s="13"/>
      <c r="C89" s="13"/>
      <c r="D89" s="277"/>
      <c r="E89" s="277"/>
      <c r="F89" s="277"/>
      <c r="G89" s="277"/>
      <c r="H89" s="277"/>
      <c r="I89" s="277"/>
      <c r="J89" s="277"/>
      <c r="K89" s="13"/>
      <c r="L89" s="13"/>
      <c r="M89" s="13"/>
      <c r="N89" s="13"/>
      <c r="O89" s="13"/>
      <c r="P89" s="13"/>
      <c r="Q89" s="13"/>
      <c r="R89" s="13"/>
      <c r="S89" s="13"/>
      <c r="T89" s="111"/>
      <c r="U89" s="194">
        <v>9</v>
      </c>
      <c r="V89" t="s" s="94">
        <v>70</v>
      </c>
      <c r="W89" s="118" cm="1">
        <f t="array" ref="W89">D43</f>
        <v>120</v>
      </c>
      <c r="X89" s="118" cm="1">
        <f t="array" ref="X89">W89</f>
        <v>120</v>
      </c>
      <c r="Y89" s="118" cm="1">
        <f t="array" ref="Y89">X89</f>
        <v>120</v>
      </c>
      <c r="Z89" s="118" cm="1">
        <f t="array" ref="Z89">Y89</f>
        <v>120</v>
      </c>
      <c r="AA89" s="118" cm="1">
        <f t="array" ref="AA89">Z89</f>
        <v>120</v>
      </c>
      <c r="AB89" s="118" cm="1">
        <f t="array" ref="AB89">AA89</f>
        <v>120</v>
      </c>
      <c r="AC89" s="118" cm="1">
        <f t="array" ref="AC89">AB89</f>
        <v>120</v>
      </c>
      <c r="AD89" s="118" cm="1">
        <f t="array" ref="AD89">AC89</f>
        <v>120</v>
      </c>
      <c r="AE89" s="118" cm="1">
        <f t="array" ref="AE89">AD89</f>
        <v>120</v>
      </c>
      <c r="AF89" s="118" cm="1">
        <f t="array" ref="AF89">AE89</f>
        <v>120</v>
      </c>
      <c r="AG89" s="118" cm="1">
        <f t="array" ref="AG89">AF89</f>
        <v>120</v>
      </c>
      <c r="AH89" s="118" cm="1">
        <f t="array" ref="AH89">AG89</f>
        <v>120</v>
      </c>
      <c r="AI89" s="118" cm="1">
        <f t="array" ref="AI89">AH89</f>
        <v>120</v>
      </c>
      <c r="AJ89" s="118" cm="1">
        <f t="array" ref="AJ89">AI89</f>
        <v>120</v>
      </c>
      <c r="AK89" s="118" cm="1">
        <f t="array" ref="AK89">AJ89</f>
        <v>120</v>
      </c>
      <c r="AL89" s="118" cm="1">
        <f t="array" ref="AL89">AK89</f>
        <v>120</v>
      </c>
      <c r="AM89" s="118" cm="1">
        <f t="array" ref="AM89">AL89</f>
        <v>120</v>
      </c>
      <c r="AN89" s="118" cm="1">
        <f t="array" ref="AN89">AM89</f>
        <v>120</v>
      </c>
      <c r="AO89" s="118" cm="1">
        <f t="array" ref="AO89">AN89</f>
        <v>120</v>
      </c>
      <c r="AP89" s="118" cm="1">
        <f t="array" ref="AP89">AO89</f>
        <v>120</v>
      </c>
      <c r="AQ89" s="118" cm="1">
        <f t="array" ref="AQ89">AP89</f>
        <v>120</v>
      </c>
      <c r="AR89" s="118" cm="1">
        <f t="array" ref="AR89">AQ89</f>
        <v>120</v>
      </c>
      <c r="AS89" s="118" cm="1">
        <f t="array" ref="AS89">AR89</f>
        <v>120</v>
      </c>
      <c r="AT89" s="118" cm="1">
        <f t="array" ref="AT89">AS89</f>
        <v>120</v>
      </c>
      <c r="AU89" s="118" cm="1">
        <f t="array" ref="AU89">AT89</f>
        <v>120</v>
      </c>
      <c r="AV89" s="118" cm="1">
        <f t="array" ref="AV89">AU89</f>
        <v>120</v>
      </c>
      <c r="AW89" s="118" cm="1">
        <f t="array" ref="AW89">AV89</f>
        <v>120</v>
      </c>
      <c r="AX89" s="118" cm="1">
        <f t="array" ref="AX89">AW89</f>
        <v>120</v>
      </c>
      <c r="AY89" s="118" cm="1">
        <f t="array" ref="AY89">AX89</f>
        <v>120</v>
      </c>
      <c r="AZ89" s="118" cm="1">
        <f t="array" ref="AZ89">AY89</f>
        <v>120</v>
      </c>
      <c r="BA89" s="118" cm="1">
        <f t="array" ref="BA89">AZ89</f>
        <v>120</v>
      </c>
      <c r="BB89" s="13"/>
      <c r="BC89" s="13"/>
      <c r="BD89" s="17"/>
    </row>
    <row r="90" ht="15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01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7"/>
    </row>
    <row r="91" ht="15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11"/>
      <c r="U91" s="194">
        <v>1</v>
      </c>
      <c r="V91" t="s" s="237">
        <v>169</v>
      </c>
      <c r="W91" s="231" cm="1">
        <f t="array" ref="W91">AVERAGE(W71:AZ71)</f>
      </c>
      <c r="X91" s="196" cm="1">
        <f t="array" ref="X91">W91</f>
      </c>
      <c r="Y91" s="196" cm="1">
        <f t="array" ref="Y91">X91</f>
      </c>
      <c r="Z91" s="196" cm="1">
        <f t="array" ref="Z91">Y91</f>
      </c>
      <c r="AA91" s="196" cm="1">
        <f t="array" ref="AA91">Z91</f>
      </c>
      <c r="AB91" s="196" cm="1">
        <f t="array" ref="AB91">AA91</f>
      </c>
      <c r="AC91" s="196" cm="1">
        <f t="array" ref="AC91">AB91</f>
      </c>
      <c r="AD91" s="196" cm="1">
        <f t="array" ref="AD91">AC91</f>
      </c>
      <c r="AE91" s="196" cm="1">
        <f t="array" ref="AE91">AD91</f>
      </c>
      <c r="AF91" s="196" cm="1">
        <f t="array" ref="AF91">AE91</f>
      </c>
      <c r="AG91" s="196" cm="1">
        <f t="array" ref="AG91">AF91</f>
      </c>
      <c r="AH91" s="196" cm="1">
        <f t="array" ref="AH91">AG91</f>
      </c>
      <c r="AI91" s="196" cm="1">
        <f t="array" ref="AI91">AH91</f>
      </c>
      <c r="AJ91" s="196" cm="1">
        <f t="array" ref="AJ91">AI91</f>
      </c>
      <c r="AK91" s="196" cm="1">
        <f t="array" ref="AK91">AJ91</f>
      </c>
      <c r="AL91" s="196" cm="1">
        <f t="array" ref="AL91">AK91</f>
      </c>
      <c r="AM91" s="196" cm="1">
        <f t="array" ref="AM91">AL91</f>
      </c>
      <c r="AN91" s="196" cm="1">
        <f t="array" ref="AN91">AM91</f>
      </c>
      <c r="AO91" s="196" cm="1">
        <f t="array" ref="AO91">AN91</f>
      </c>
      <c r="AP91" s="196" cm="1">
        <f t="array" ref="AP91">AO91</f>
      </c>
      <c r="AQ91" s="196" cm="1">
        <f t="array" ref="AQ91">AP91</f>
      </c>
      <c r="AR91" s="196" cm="1">
        <f t="array" ref="AR91">AQ91</f>
      </c>
      <c r="AS91" s="196" cm="1">
        <f t="array" ref="AS91">AR91</f>
      </c>
      <c r="AT91" s="196" cm="1">
        <f t="array" ref="AT91">AS91</f>
      </c>
      <c r="AU91" s="196" cm="1">
        <f t="array" ref="AU91">AT91</f>
      </c>
      <c r="AV91" s="196" cm="1">
        <f t="array" ref="AV91">AU91</f>
      </c>
      <c r="AW91" s="196" cm="1">
        <f t="array" ref="AW91">AV91</f>
      </c>
      <c r="AX91" s="196" cm="1">
        <f t="array" ref="AX91">AW91</f>
      </c>
      <c r="AY91" s="196" cm="1">
        <f t="array" ref="AY91">AX91</f>
      </c>
      <c r="AZ91" s="196" cm="1">
        <f t="array" ref="AZ91">AY91</f>
      </c>
      <c r="BA91" s="196" cm="1">
        <f t="array" ref="BA91">AZ91</f>
      </c>
      <c r="BB91" s="13"/>
      <c r="BC91" s="13"/>
      <c r="BD91" s="17"/>
    </row>
    <row r="92" ht="15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11"/>
      <c r="U92" s="194">
        <v>2</v>
      </c>
      <c r="V92" t="s" s="94">
        <v>62</v>
      </c>
      <c r="W92" s="231" cm="1">
        <f t="array" ref="W92">AVERAGE(W72:AZ72)</f>
      </c>
      <c r="X92" s="231" cm="1">
        <f t="array" ref="X92">W92</f>
      </c>
      <c r="Y92" s="231" cm="1">
        <f t="array" ref="Y92">X92</f>
      </c>
      <c r="Z92" s="231" cm="1">
        <f t="array" ref="Z92">Y92</f>
      </c>
      <c r="AA92" s="231" cm="1">
        <f t="array" ref="AA92">Z92</f>
      </c>
      <c r="AB92" s="231" cm="1">
        <f t="array" ref="AB92">AA92</f>
      </c>
      <c r="AC92" s="231" cm="1">
        <f t="array" ref="AC92">AB92</f>
      </c>
      <c r="AD92" s="231" cm="1">
        <f t="array" ref="AD92">AC92</f>
      </c>
      <c r="AE92" s="231" cm="1">
        <f t="array" ref="AE92">AD92</f>
      </c>
      <c r="AF92" s="231" cm="1">
        <f t="array" ref="AF92">AE92</f>
      </c>
      <c r="AG92" s="231" cm="1">
        <f t="array" ref="AG92">AF92</f>
      </c>
      <c r="AH92" s="231" cm="1">
        <f t="array" ref="AH92">AG92</f>
      </c>
      <c r="AI92" s="231" cm="1">
        <f t="array" ref="AI92">AH92</f>
      </c>
      <c r="AJ92" s="231" cm="1">
        <f t="array" ref="AJ92">AI92</f>
      </c>
      <c r="AK92" s="231" cm="1">
        <f t="array" ref="AK92">AJ92</f>
      </c>
      <c r="AL92" s="231" cm="1">
        <f t="array" ref="AL92">AK92</f>
      </c>
      <c r="AM92" s="231" cm="1">
        <f t="array" ref="AM92">AL92</f>
      </c>
      <c r="AN92" s="231" cm="1">
        <f t="array" ref="AN92">AM92</f>
      </c>
      <c r="AO92" s="231" cm="1">
        <f t="array" ref="AO92">AN92</f>
      </c>
      <c r="AP92" s="231" cm="1">
        <f t="array" ref="AP92">AO92</f>
      </c>
      <c r="AQ92" s="231" cm="1">
        <f t="array" ref="AQ92">AP92</f>
      </c>
      <c r="AR92" s="231" cm="1">
        <f t="array" ref="AR92">AQ92</f>
      </c>
      <c r="AS92" s="231" cm="1">
        <f t="array" ref="AS92">AR92</f>
      </c>
      <c r="AT92" s="231" cm="1">
        <f t="array" ref="AT92">AS92</f>
      </c>
      <c r="AU92" s="231" cm="1">
        <f t="array" ref="AU92">AT92</f>
      </c>
      <c r="AV92" s="231" cm="1">
        <f t="array" ref="AV92">AU92</f>
      </c>
      <c r="AW92" s="231" cm="1">
        <f t="array" ref="AW92">AV92</f>
      </c>
      <c r="AX92" s="231" cm="1">
        <f t="array" ref="AX92">AW92</f>
      </c>
      <c r="AY92" s="231" cm="1">
        <f t="array" ref="AY92">AX92</f>
      </c>
      <c r="AZ92" s="231" cm="1">
        <f t="array" ref="AZ92">AY92</f>
      </c>
      <c r="BA92" s="231" cm="1">
        <f t="array" ref="BA92">AZ92</f>
      </c>
      <c r="BB92" s="13"/>
      <c r="BC92" s="13"/>
      <c r="BD92" s="17"/>
    </row>
    <row r="93" ht="15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11"/>
      <c r="U93" s="194">
        <v>3</v>
      </c>
      <c r="V93" t="s" s="94">
        <v>64</v>
      </c>
      <c r="W93" s="231" cm="1">
        <f t="array" ref="W93">AVERAGE(W73:AZ73)</f>
      </c>
      <c r="X93" s="231" cm="1">
        <f t="array" ref="X93">W93</f>
      </c>
      <c r="Y93" s="231" cm="1">
        <f t="array" ref="Y93">X93</f>
      </c>
      <c r="Z93" s="231" cm="1">
        <f t="array" ref="Z93">Y93</f>
      </c>
      <c r="AA93" s="231" cm="1">
        <f t="array" ref="AA93">Z93</f>
      </c>
      <c r="AB93" s="231" cm="1">
        <f t="array" ref="AB93">AA93</f>
      </c>
      <c r="AC93" s="231" cm="1">
        <f t="array" ref="AC93">AB93</f>
      </c>
      <c r="AD93" s="231" cm="1">
        <f t="array" ref="AD93">AC93</f>
      </c>
      <c r="AE93" s="231" cm="1">
        <f t="array" ref="AE93">AD93</f>
      </c>
      <c r="AF93" s="231" cm="1">
        <f t="array" ref="AF93">AE93</f>
      </c>
      <c r="AG93" s="231" cm="1">
        <f t="array" ref="AG93">AF93</f>
      </c>
      <c r="AH93" s="231" cm="1">
        <f t="array" ref="AH93">AG93</f>
      </c>
      <c r="AI93" s="231" cm="1">
        <f t="array" ref="AI93">AH93</f>
      </c>
      <c r="AJ93" s="231" cm="1">
        <f t="array" ref="AJ93">AI93</f>
      </c>
      <c r="AK93" s="231" cm="1">
        <f t="array" ref="AK93">AJ93</f>
      </c>
      <c r="AL93" s="231" cm="1">
        <f t="array" ref="AL93">AK93</f>
      </c>
      <c r="AM93" s="231" cm="1">
        <f t="array" ref="AM93">AL93</f>
      </c>
      <c r="AN93" s="231" cm="1">
        <f t="array" ref="AN93">AM93</f>
      </c>
      <c r="AO93" s="231" cm="1">
        <f t="array" ref="AO93">AN93</f>
      </c>
      <c r="AP93" s="231" cm="1">
        <f t="array" ref="AP93">AO93</f>
      </c>
      <c r="AQ93" s="231" cm="1">
        <f t="array" ref="AQ93">AP93</f>
      </c>
      <c r="AR93" s="231" cm="1">
        <f t="array" ref="AR93">AQ93</f>
      </c>
      <c r="AS93" s="231" cm="1">
        <f t="array" ref="AS93">AR93</f>
      </c>
      <c r="AT93" s="231" cm="1">
        <f t="array" ref="AT93">AS93</f>
      </c>
      <c r="AU93" s="231" cm="1">
        <f t="array" ref="AU93">AT93</f>
      </c>
      <c r="AV93" s="231" cm="1">
        <f t="array" ref="AV93">AU93</f>
      </c>
      <c r="AW93" s="231" cm="1">
        <f t="array" ref="AW93">AV93</f>
      </c>
      <c r="AX93" s="231" cm="1">
        <f t="array" ref="AX93">AW93</f>
      </c>
      <c r="AY93" s="231" cm="1">
        <f t="array" ref="AY93">AX93</f>
      </c>
      <c r="AZ93" s="231" cm="1">
        <f t="array" ref="AZ93">AY93</f>
      </c>
      <c r="BA93" s="231" cm="1">
        <f t="array" ref="BA93">AZ93</f>
      </c>
      <c r="BB93" s="13"/>
      <c r="BC93" s="13"/>
      <c r="BD93" s="17"/>
    </row>
    <row r="94" ht="15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11"/>
      <c r="U94" s="194">
        <v>4</v>
      </c>
      <c r="V94" t="s" s="94">
        <v>65</v>
      </c>
      <c r="W94" s="231" cm="1">
        <f t="array" ref="W94">AVERAGE(W74:AZ74)</f>
      </c>
      <c r="X94" s="231" cm="1">
        <f t="array" ref="X94">W94</f>
      </c>
      <c r="Y94" s="231" cm="1">
        <f t="array" ref="Y94">X94</f>
      </c>
      <c r="Z94" s="231" cm="1">
        <f t="array" ref="Z94">Y94</f>
      </c>
      <c r="AA94" s="231" cm="1">
        <f t="array" ref="AA94">Z94</f>
      </c>
      <c r="AB94" s="231" cm="1">
        <f t="array" ref="AB94">AA94</f>
      </c>
      <c r="AC94" s="231" cm="1">
        <f t="array" ref="AC94">AB94</f>
      </c>
      <c r="AD94" s="231" cm="1">
        <f t="array" ref="AD94">AC94</f>
      </c>
      <c r="AE94" s="231" cm="1">
        <f t="array" ref="AE94">AD94</f>
      </c>
      <c r="AF94" s="231" cm="1">
        <f t="array" ref="AF94">AE94</f>
      </c>
      <c r="AG94" s="231" cm="1">
        <f t="array" ref="AG94">AF94</f>
      </c>
      <c r="AH94" s="231" cm="1">
        <f t="array" ref="AH94">AG94</f>
      </c>
      <c r="AI94" s="231" cm="1">
        <f t="array" ref="AI94">AH94</f>
      </c>
      <c r="AJ94" s="231" cm="1">
        <f t="array" ref="AJ94">AI94</f>
      </c>
      <c r="AK94" s="231" cm="1">
        <f t="array" ref="AK94">AJ94</f>
      </c>
      <c r="AL94" s="231" cm="1">
        <f t="array" ref="AL94">AK94</f>
      </c>
      <c r="AM94" s="231" cm="1">
        <f t="array" ref="AM94">AL94</f>
      </c>
      <c r="AN94" s="231" cm="1">
        <f t="array" ref="AN94">AM94</f>
      </c>
      <c r="AO94" s="231" cm="1">
        <f t="array" ref="AO94">AN94</f>
      </c>
      <c r="AP94" s="231" cm="1">
        <f t="array" ref="AP94">AO94</f>
      </c>
      <c r="AQ94" s="231" cm="1">
        <f t="array" ref="AQ94">AP94</f>
      </c>
      <c r="AR94" s="231" cm="1">
        <f t="array" ref="AR94">AQ94</f>
      </c>
      <c r="AS94" s="231" cm="1">
        <f t="array" ref="AS94">AR94</f>
      </c>
      <c r="AT94" s="231" cm="1">
        <f t="array" ref="AT94">AS94</f>
      </c>
      <c r="AU94" s="231" cm="1">
        <f t="array" ref="AU94">AT94</f>
      </c>
      <c r="AV94" s="231" cm="1">
        <f t="array" ref="AV94">AU94</f>
      </c>
      <c r="AW94" s="231" cm="1">
        <f t="array" ref="AW94">AV94</f>
      </c>
      <c r="AX94" s="231" cm="1">
        <f t="array" ref="AX94">AW94</f>
      </c>
      <c r="AY94" s="231" cm="1">
        <f t="array" ref="AY94">AX94</f>
      </c>
      <c r="AZ94" s="231" cm="1">
        <f t="array" ref="AZ94">AY94</f>
      </c>
      <c r="BA94" s="231" cm="1">
        <f t="array" ref="BA94">AZ94</f>
      </c>
      <c r="BB94" s="13"/>
      <c r="BC94" s="13"/>
      <c r="BD94" s="17"/>
    </row>
    <row r="95" ht="15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11"/>
      <c r="U95" s="194">
        <v>5</v>
      </c>
      <c r="V95" t="s" s="94">
        <v>66</v>
      </c>
      <c r="W95" s="231" cm="1">
        <f t="array" ref="W95">AVERAGE(W75:AZ75)</f>
      </c>
      <c r="X95" s="231" cm="1">
        <f t="array" ref="X95">W95</f>
      </c>
      <c r="Y95" s="231" cm="1">
        <f t="array" ref="Y95">X95</f>
      </c>
      <c r="Z95" s="231" cm="1">
        <f t="array" ref="Z95">Y95</f>
      </c>
      <c r="AA95" s="231" cm="1">
        <f t="array" ref="AA95">Z95</f>
      </c>
      <c r="AB95" s="231" cm="1">
        <f t="array" ref="AB95">AA95</f>
      </c>
      <c r="AC95" s="231" cm="1">
        <f t="array" ref="AC95">AB95</f>
      </c>
      <c r="AD95" s="231" cm="1">
        <f t="array" ref="AD95">AC95</f>
      </c>
      <c r="AE95" s="231" cm="1">
        <f t="array" ref="AE95">AD95</f>
      </c>
      <c r="AF95" s="231" cm="1">
        <f t="array" ref="AF95">AE95</f>
      </c>
      <c r="AG95" s="231" cm="1">
        <f t="array" ref="AG95">AF95</f>
      </c>
      <c r="AH95" s="231" cm="1">
        <f t="array" ref="AH95">AG95</f>
      </c>
      <c r="AI95" s="231" cm="1">
        <f t="array" ref="AI95">AH95</f>
      </c>
      <c r="AJ95" s="231" cm="1">
        <f t="array" ref="AJ95">AI95</f>
      </c>
      <c r="AK95" s="231" cm="1">
        <f t="array" ref="AK95">AJ95</f>
      </c>
      <c r="AL95" s="231" cm="1">
        <f t="array" ref="AL95">AK95</f>
      </c>
      <c r="AM95" s="231" cm="1">
        <f t="array" ref="AM95">AL95</f>
      </c>
      <c r="AN95" s="231" cm="1">
        <f t="array" ref="AN95">AM95</f>
      </c>
      <c r="AO95" s="231" cm="1">
        <f t="array" ref="AO95">AN95</f>
      </c>
      <c r="AP95" s="231" cm="1">
        <f t="array" ref="AP95">AO95</f>
      </c>
      <c r="AQ95" s="231" cm="1">
        <f t="array" ref="AQ95">AP95</f>
      </c>
      <c r="AR95" s="231" cm="1">
        <f t="array" ref="AR95">AQ95</f>
      </c>
      <c r="AS95" s="231" cm="1">
        <f t="array" ref="AS95">AR95</f>
      </c>
      <c r="AT95" s="231" cm="1">
        <f t="array" ref="AT95">AS95</f>
      </c>
      <c r="AU95" s="231" cm="1">
        <f t="array" ref="AU95">AT95</f>
      </c>
      <c r="AV95" s="231" cm="1">
        <f t="array" ref="AV95">AU95</f>
      </c>
      <c r="AW95" s="231" cm="1">
        <f t="array" ref="AW95">AV95</f>
      </c>
      <c r="AX95" s="231" cm="1">
        <f t="array" ref="AX95">AW95</f>
      </c>
      <c r="AY95" s="231" cm="1">
        <f t="array" ref="AY95">AX95</f>
      </c>
      <c r="AZ95" s="231" cm="1">
        <f t="array" ref="AZ95">AY95</f>
      </c>
      <c r="BA95" s="231" cm="1">
        <f t="array" ref="BA95">AZ95</f>
      </c>
      <c r="BB95" s="13"/>
      <c r="BC95" s="13"/>
      <c r="BD95" s="17"/>
    </row>
    <row r="96" ht="15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11"/>
      <c r="U96" s="194">
        <v>6</v>
      </c>
      <c r="V96" t="s" s="94">
        <v>67</v>
      </c>
      <c r="W96" s="231" cm="1">
        <f t="array" ref="W96">AVERAGE(W76:AZ76)</f>
      </c>
      <c r="X96" s="231" cm="1">
        <f t="array" ref="X96">W96</f>
      </c>
      <c r="Y96" s="231" cm="1">
        <f t="array" ref="Y96">X96</f>
      </c>
      <c r="Z96" s="231" cm="1">
        <f t="array" ref="Z96">Y96</f>
      </c>
      <c r="AA96" s="231" cm="1">
        <f t="array" ref="AA96">Z96</f>
      </c>
      <c r="AB96" s="231" cm="1">
        <f t="array" ref="AB96">AA96</f>
      </c>
      <c r="AC96" s="231" cm="1">
        <f t="array" ref="AC96">AB96</f>
      </c>
      <c r="AD96" s="231" cm="1">
        <f t="array" ref="AD96">AC96</f>
      </c>
      <c r="AE96" s="231" cm="1">
        <f t="array" ref="AE96">AD96</f>
      </c>
      <c r="AF96" s="231" cm="1">
        <f t="array" ref="AF96">AE96</f>
      </c>
      <c r="AG96" s="231" cm="1">
        <f t="array" ref="AG96">AF96</f>
      </c>
      <c r="AH96" s="231" cm="1">
        <f t="array" ref="AH96">AG96</f>
      </c>
      <c r="AI96" s="231" cm="1">
        <f t="array" ref="AI96">AH96</f>
      </c>
      <c r="AJ96" s="231" cm="1">
        <f t="array" ref="AJ96">AI96</f>
      </c>
      <c r="AK96" s="231" cm="1">
        <f t="array" ref="AK96">AJ96</f>
      </c>
      <c r="AL96" s="231" cm="1">
        <f t="array" ref="AL96">AK96</f>
      </c>
      <c r="AM96" s="231" cm="1">
        <f t="array" ref="AM96">AL96</f>
      </c>
      <c r="AN96" s="231" cm="1">
        <f t="array" ref="AN96">AM96</f>
      </c>
      <c r="AO96" s="231" cm="1">
        <f t="array" ref="AO96">AN96</f>
      </c>
      <c r="AP96" s="231" cm="1">
        <f t="array" ref="AP96">AO96</f>
      </c>
      <c r="AQ96" s="231" cm="1">
        <f t="array" ref="AQ96">AP96</f>
      </c>
      <c r="AR96" s="231" cm="1">
        <f t="array" ref="AR96">AQ96</f>
      </c>
      <c r="AS96" s="231" cm="1">
        <f t="array" ref="AS96">AR96</f>
      </c>
      <c r="AT96" s="231" cm="1">
        <f t="array" ref="AT96">AS96</f>
      </c>
      <c r="AU96" s="231" cm="1">
        <f t="array" ref="AU96">AT96</f>
      </c>
      <c r="AV96" s="231" cm="1">
        <f t="array" ref="AV96">AU96</f>
      </c>
      <c r="AW96" s="231" cm="1">
        <f t="array" ref="AW96">AV96</f>
      </c>
      <c r="AX96" s="231" cm="1">
        <f t="array" ref="AX96">AW96</f>
      </c>
      <c r="AY96" s="231" cm="1">
        <f t="array" ref="AY96">AX96</f>
      </c>
      <c r="AZ96" s="231" cm="1">
        <f t="array" ref="AZ96">AY96</f>
      </c>
      <c r="BA96" s="231" cm="1">
        <f t="array" ref="BA96">AZ96</f>
      </c>
      <c r="BB96" s="13"/>
      <c r="BC96" s="13"/>
      <c r="BD96" s="17"/>
    </row>
    <row r="97" ht="15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11"/>
      <c r="U97" s="194">
        <v>7</v>
      </c>
      <c r="V97" t="s" s="94">
        <v>68</v>
      </c>
      <c r="W97" s="231" cm="1">
        <f t="array" ref="W97">AVERAGE(W77:AZ77)</f>
      </c>
      <c r="X97" s="231" cm="1">
        <f t="array" ref="X97">W97</f>
      </c>
      <c r="Y97" s="231" cm="1">
        <f t="array" ref="Y97">X97</f>
      </c>
      <c r="Z97" s="231" cm="1">
        <f t="array" ref="Z97">Y97</f>
      </c>
      <c r="AA97" s="231" cm="1">
        <f t="array" ref="AA97">Z97</f>
      </c>
      <c r="AB97" s="231" cm="1">
        <f t="array" ref="AB97">AA97</f>
      </c>
      <c r="AC97" s="231" cm="1">
        <f t="array" ref="AC97">AB97</f>
      </c>
      <c r="AD97" s="231" cm="1">
        <f t="array" ref="AD97">AC97</f>
      </c>
      <c r="AE97" s="231" cm="1">
        <f t="array" ref="AE97">AD97</f>
      </c>
      <c r="AF97" s="231" cm="1">
        <f t="array" ref="AF97">AE97</f>
      </c>
      <c r="AG97" s="231" cm="1">
        <f t="array" ref="AG97">AF97</f>
      </c>
      <c r="AH97" s="231" cm="1">
        <f t="array" ref="AH97">AG97</f>
      </c>
      <c r="AI97" s="231" cm="1">
        <f t="array" ref="AI97">AH97</f>
      </c>
      <c r="AJ97" s="231" cm="1">
        <f t="array" ref="AJ97">AI97</f>
      </c>
      <c r="AK97" s="231" cm="1">
        <f t="array" ref="AK97">AJ97</f>
      </c>
      <c r="AL97" s="231" cm="1">
        <f t="array" ref="AL97">AK97</f>
      </c>
      <c r="AM97" s="231" cm="1">
        <f t="array" ref="AM97">AL97</f>
      </c>
      <c r="AN97" s="231" cm="1">
        <f t="array" ref="AN97">AM97</f>
      </c>
      <c r="AO97" s="231" cm="1">
        <f t="array" ref="AO97">AN97</f>
      </c>
      <c r="AP97" s="231" cm="1">
        <f t="array" ref="AP97">AO97</f>
      </c>
      <c r="AQ97" s="231" cm="1">
        <f t="array" ref="AQ97">AP97</f>
      </c>
      <c r="AR97" s="231" cm="1">
        <f t="array" ref="AR97">AQ97</f>
      </c>
      <c r="AS97" s="231" cm="1">
        <f t="array" ref="AS97">AR97</f>
      </c>
      <c r="AT97" s="231" cm="1">
        <f t="array" ref="AT97">AS97</f>
      </c>
      <c r="AU97" s="231" cm="1">
        <f t="array" ref="AU97">AT97</f>
      </c>
      <c r="AV97" s="231" cm="1">
        <f t="array" ref="AV97">AU97</f>
      </c>
      <c r="AW97" s="231" cm="1">
        <f t="array" ref="AW97">AV97</f>
      </c>
      <c r="AX97" s="231" cm="1">
        <f t="array" ref="AX97">AW97</f>
      </c>
      <c r="AY97" s="231" cm="1">
        <f t="array" ref="AY97">AX97</f>
      </c>
      <c r="AZ97" s="231" cm="1">
        <f t="array" ref="AZ97">AY97</f>
      </c>
      <c r="BA97" s="231" cm="1">
        <f t="array" ref="BA97">AZ97</f>
      </c>
      <c r="BB97" s="13"/>
      <c r="BC97" s="13"/>
      <c r="BD97" s="17"/>
    </row>
    <row r="98" ht="15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11"/>
      <c r="U98" s="194">
        <v>8</v>
      </c>
      <c r="V98" t="s" s="94">
        <v>69</v>
      </c>
      <c r="W98" s="231" cm="1">
        <f t="array" ref="W98">AVERAGE(W78:AZ78)</f>
      </c>
      <c r="X98" s="231" cm="1">
        <f t="array" ref="X98">W98</f>
      </c>
      <c r="Y98" s="231" cm="1">
        <f t="array" ref="Y98">X98</f>
      </c>
      <c r="Z98" s="231" cm="1">
        <f t="array" ref="Z98">Y98</f>
      </c>
      <c r="AA98" s="231" cm="1">
        <f t="array" ref="AA98">Z98</f>
      </c>
      <c r="AB98" s="231" cm="1">
        <f t="array" ref="AB98">AA98</f>
      </c>
      <c r="AC98" s="231" cm="1">
        <f t="array" ref="AC98">AB98</f>
      </c>
      <c r="AD98" s="231" cm="1">
        <f t="array" ref="AD98">AC98</f>
      </c>
      <c r="AE98" s="231" cm="1">
        <f t="array" ref="AE98">AD98</f>
      </c>
      <c r="AF98" s="231" cm="1">
        <f t="array" ref="AF98">AE98</f>
      </c>
      <c r="AG98" s="231" cm="1">
        <f t="array" ref="AG98">AF98</f>
      </c>
      <c r="AH98" s="231" cm="1">
        <f t="array" ref="AH98">AG98</f>
      </c>
      <c r="AI98" s="231" cm="1">
        <f t="array" ref="AI98">AH98</f>
      </c>
      <c r="AJ98" s="231" cm="1">
        <f t="array" ref="AJ98">AI98</f>
      </c>
      <c r="AK98" s="231" cm="1">
        <f t="array" ref="AK98">AJ98</f>
      </c>
      <c r="AL98" s="231" cm="1">
        <f t="array" ref="AL98">AK98</f>
      </c>
      <c r="AM98" s="231" cm="1">
        <f t="array" ref="AM98">AL98</f>
      </c>
      <c r="AN98" s="231" cm="1">
        <f t="array" ref="AN98">AM98</f>
      </c>
      <c r="AO98" s="231" cm="1">
        <f t="array" ref="AO98">AN98</f>
      </c>
      <c r="AP98" s="231" cm="1">
        <f t="array" ref="AP98">AO98</f>
      </c>
      <c r="AQ98" s="231" cm="1">
        <f t="array" ref="AQ98">AP98</f>
      </c>
      <c r="AR98" s="231" cm="1">
        <f t="array" ref="AR98">AQ98</f>
      </c>
      <c r="AS98" s="231" cm="1">
        <f t="array" ref="AS98">AR98</f>
      </c>
      <c r="AT98" s="231" cm="1">
        <f t="array" ref="AT98">AS98</f>
      </c>
      <c r="AU98" s="231" cm="1">
        <f t="array" ref="AU98">AT98</f>
      </c>
      <c r="AV98" s="231" cm="1">
        <f t="array" ref="AV98">AU98</f>
      </c>
      <c r="AW98" s="231" cm="1">
        <f t="array" ref="AW98">AV98</f>
      </c>
      <c r="AX98" s="231" cm="1">
        <f t="array" ref="AX98">AW98</f>
      </c>
      <c r="AY98" s="231" cm="1">
        <f t="array" ref="AY98">AX98</f>
      </c>
      <c r="AZ98" s="231" cm="1">
        <f t="array" ref="AZ98">AY98</f>
      </c>
      <c r="BA98" s="231" cm="1">
        <f t="array" ref="BA98">AZ98</f>
      </c>
      <c r="BB98" s="13"/>
      <c r="BC98" s="13"/>
      <c r="BD98" s="17"/>
    </row>
    <row r="99" ht="15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11"/>
      <c r="U99" s="194">
        <v>9</v>
      </c>
      <c r="V99" t="s" s="94">
        <v>70</v>
      </c>
      <c r="W99" s="231" cm="1">
        <f t="array" ref="W99">AVERAGE(W79:AZ79)</f>
      </c>
      <c r="X99" s="231" cm="1">
        <f t="array" ref="X99">W99</f>
      </c>
      <c r="Y99" s="231" cm="1">
        <f t="array" ref="Y99">X99</f>
      </c>
      <c r="Z99" s="231" cm="1">
        <f t="array" ref="Z99">Y99</f>
      </c>
      <c r="AA99" s="231" cm="1">
        <f t="array" ref="AA99">Z99</f>
      </c>
      <c r="AB99" s="231" cm="1">
        <f t="array" ref="AB99">AA99</f>
      </c>
      <c r="AC99" s="231" cm="1">
        <f t="array" ref="AC99">AB99</f>
      </c>
      <c r="AD99" s="231" cm="1">
        <f t="array" ref="AD99">AC99</f>
      </c>
      <c r="AE99" s="231" cm="1">
        <f t="array" ref="AE99">AD99</f>
      </c>
      <c r="AF99" s="231" cm="1">
        <f t="array" ref="AF99">AE99</f>
      </c>
      <c r="AG99" s="231" cm="1">
        <f t="array" ref="AG99">AF99</f>
      </c>
      <c r="AH99" s="231" cm="1">
        <f t="array" ref="AH99">AG99</f>
      </c>
      <c r="AI99" s="231" cm="1">
        <f t="array" ref="AI99">AH99</f>
      </c>
      <c r="AJ99" s="231" cm="1">
        <f t="array" ref="AJ99">AI99</f>
      </c>
      <c r="AK99" s="231" cm="1">
        <f t="array" ref="AK99">AJ99</f>
      </c>
      <c r="AL99" s="231" cm="1">
        <f t="array" ref="AL99">AK99</f>
      </c>
      <c r="AM99" s="231" cm="1">
        <f t="array" ref="AM99">AL99</f>
      </c>
      <c r="AN99" s="231" cm="1">
        <f t="array" ref="AN99">AM99</f>
      </c>
      <c r="AO99" s="231" cm="1">
        <f t="array" ref="AO99">AN99</f>
      </c>
      <c r="AP99" s="231" cm="1">
        <f t="array" ref="AP99">AO99</f>
      </c>
      <c r="AQ99" s="231" cm="1">
        <f t="array" ref="AQ99">AP99</f>
      </c>
      <c r="AR99" s="231" cm="1">
        <f t="array" ref="AR99">AQ99</f>
      </c>
      <c r="AS99" s="231" cm="1">
        <f t="array" ref="AS99">AR99</f>
      </c>
      <c r="AT99" s="231" cm="1">
        <f t="array" ref="AT99">AS99</f>
      </c>
      <c r="AU99" s="231" cm="1">
        <f t="array" ref="AU99">AT99</f>
      </c>
      <c r="AV99" s="231" cm="1">
        <f t="array" ref="AV99">AU99</f>
      </c>
      <c r="AW99" s="231" cm="1">
        <f t="array" ref="AW99">AV99</f>
      </c>
      <c r="AX99" s="231" cm="1">
        <f t="array" ref="AX99">AW99</f>
      </c>
      <c r="AY99" s="231" cm="1">
        <f t="array" ref="AY99">AX99</f>
      </c>
      <c r="AZ99" s="231" cm="1">
        <f t="array" ref="AZ99">AY99</f>
      </c>
      <c r="BA99" s="231" cm="1">
        <f t="array" ref="BA99">AZ99</f>
      </c>
      <c r="BB99" s="13"/>
      <c r="BC99" s="13"/>
      <c r="BD99" s="17"/>
    </row>
    <row r="100" ht="15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20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7"/>
    </row>
    <row r="101" ht="15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7"/>
    </row>
    <row r="102" ht="15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7"/>
    </row>
    <row r="103" ht="15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7"/>
    </row>
    <row r="104" ht="15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7"/>
    </row>
    <row r="105" ht="15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7"/>
    </row>
    <row r="106" ht="15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7"/>
    </row>
    <row r="107" ht="15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7"/>
    </row>
    <row r="108" ht="15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7"/>
    </row>
    <row r="109" ht="15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7"/>
    </row>
    <row r="110" ht="15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7"/>
    </row>
    <row r="111" ht="15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7"/>
    </row>
    <row r="112" ht="15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7"/>
    </row>
    <row r="113" ht="15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7"/>
    </row>
    <row r="114" ht="15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7"/>
    </row>
    <row r="115" ht="15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7"/>
    </row>
    <row r="116" ht="15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7"/>
    </row>
    <row r="117" ht="15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7"/>
    </row>
    <row r="118" ht="15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7"/>
    </row>
    <row r="119" ht="15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7"/>
    </row>
    <row r="120" ht="15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7"/>
    </row>
    <row r="121" ht="15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7"/>
    </row>
    <row r="122" ht="15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7"/>
    </row>
    <row r="123" ht="15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7"/>
    </row>
    <row r="124" ht="15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7"/>
    </row>
    <row r="125" ht="15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7"/>
    </row>
    <row r="126" ht="15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7"/>
    </row>
    <row r="127" ht="15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7"/>
    </row>
    <row r="128" ht="15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7"/>
    </row>
    <row r="129" ht="15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7"/>
    </row>
    <row r="130" ht="15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7"/>
    </row>
    <row r="131" ht="15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7"/>
    </row>
    <row r="132" ht="15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7"/>
    </row>
    <row r="133" ht="15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7"/>
    </row>
    <row r="134" ht="15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7"/>
    </row>
    <row r="135" ht="15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7"/>
    </row>
    <row r="136" ht="15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7"/>
    </row>
    <row r="137" ht="15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7"/>
    </row>
    <row r="138" ht="15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7"/>
    </row>
    <row r="139" ht="15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7"/>
    </row>
    <row r="140" ht="16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7"/>
    </row>
    <row r="141" ht="16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7"/>
    </row>
    <row r="142" ht="16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7"/>
    </row>
    <row r="143" ht="16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7"/>
    </row>
    <row r="144" ht="16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7"/>
    </row>
    <row r="145" ht="16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7"/>
    </row>
    <row r="146" ht="16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7"/>
    </row>
    <row r="147" ht="16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7"/>
    </row>
    <row r="148" ht="16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7"/>
    </row>
    <row r="149" ht="16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7"/>
    </row>
    <row r="150" ht="16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7"/>
    </row>
    <row r="151" ht="16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7"/>
    </row>
    <row r="152" ht="16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7"/>
    </row>
    <row r="153" ht="16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7"/>
    </row>
    <row r="154" ht="16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7"/>
    </row>
    <row r="155" ht="16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7"/>
    </row>
    <row r="156" ht="16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7"/>
    </row>
    <row r="157" ht="16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7"/>
    </row>
    <row r="158" ht="16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7"/>
    </row>
    <row r="159" ht="16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7"/>
    </row>
    <row r="160" ht="16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7"/>
    </row>
    <row r="161" ht="16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7"/>
    </row>
    <row r="162" ht="16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7"/>
    </row>
    <row r="163" ht="16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7"/>
    </row>
    <row r="164" ht="16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7"/>
    </row>
    <row r="165" ht="16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7"/>
    </row>
    <row r="166" ht="16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7"/>
    </row>
    <row r="167" ht="16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7"/>
    </row>
    <row r="168" ht="16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7"/>
    </row>
    <row r="169" ht="16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7"/>
    </row>
    <row r="170" ht="16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7"/>
    </row>
    <row r="171" ht="16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7"/>
    </row>
    <row r="172" ht="16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7"/>
    </row>
    <row r="173" ht="16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7"/>
    </row>
    <row r="174" ht="16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7"/>
    </row>
    <row r="175" ht="16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7"/>
    </row>
    <row r="176" ht="16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7"/>
    </row>
    <row r="177" ht="16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7"/>
    </row>
    <row r="178" ht="16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7"/>
    </row>
    <row r="179" ht="16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7"/>
    </row>
    <row r="180" ht="16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7"/>
    </row>
    <row r="181" ht="16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7"/>
    </row>
    <row r="182" ht="16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7"/>
    </row>
    <row r="183" ht="16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7"/>
    </row>
    <row r="184" ht="16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7"/>
    </row>
    <row r="185" ht="16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7"/>
    </row>
    <row r="186" ht="16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7"/>
    </row>
    <row r="187" ht="16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7"/>
    </row>
    <row r="188" ht="16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7"/>
    </row>
    <row r="189" ht="16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7"/>
    </row>
    <row r="190" ht="16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7"/>
    </row>
    <row r="191" ht="16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7"/>
    </row>
    <row r="192" ht="16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7"/>
    </row>
    <row r="193" ht="16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7"/>
    </row>
    <row r="194" ht="16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7"/>
    </row>
    <row r="195" ht="16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7"/>
    </row>
    <row r="196" ht="16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7"/>
    </row>
    <row r="197" ht="16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7"/>
    </row>
    <row r="198" ht="16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7"/>
    </row>
    <row r="199" ht="16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7"/>
    </row>
    <row r="200" ht="16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7"/>
    </row>
    <row r="201" ht="16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7"/>
    </row>
    <row r="202" ht="16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7"/>
    </row>
    <row r="203" ht="16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7"/>
    </row>
    <row r="204" ht="16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7"/>
    </row>
    <row r="205" ht="16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7"/>
    </row>
    <row r="206" ht="16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7"/>
    </row>
    <row r="207" ht="16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7"/>
    </row>
    <row r="208" ht="16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7"/>
    </row>
    <row r="209" ht="16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7"/>
    </row>
    <row r="210" ht="16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7"/>
    </row>
    <row r="211" ht="16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7"/>
    </row>
    <row r="212" ht="16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7"/>
    </row>
    <row r="213" ht="16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7"/>
    </row>
    <row r="214" ht="16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7"/>
    </row>
    <row r="215" ht="16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7"/>
    </row>
    <row r="216" ht="16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7"/>
    </row>
    <row r="217" ht="16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295">
        <v>46023</v>
      </c>
      <c r="AH217" s="295">
        <v>46081</v>
      </c>
      <c r="AI217" s="295">
        <v>46112</v>
      </c>
      <c r="AJ217" s="295">
        <v>46142</v>
      </c>
      <c r="AK217" s="295">
        <v>46173</v>
      </c>
      <c r="AL217" s="295">
        <v>46203</v>
      </c>
      <c r="AM217" s="295">
        <v>46234</v>
      </c>
      <c r="AN217" s="295">
        <v>46265</v>
      </c>
      <c r="AO217" s="295">
        <v>46295</v>
      </c>
      <c r="AP217" s="295">
        <v>46326</v>
      </c>
      <c r="AQ217" s="295">
        <v>46356</v>
      </c>
      <c r="AR217" s="295">
        <v>46387</v>
      </c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7"/>
    </row>
    <row r="218" ht="16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t="s" s="121">
        <v>88</v>
      </c>
      <c r="AF218" s="13"/>
      <c r="AG218" s="118">
        <v>1692201.45</v>
      </c>
      <c r="AH218" s="118">
        <v>1502938.71425625</v>
      </c>
      <c r="AI218" s="118">
        <v>1857781.84725</v>
      </c>
      <c r="AJ218" s="118" cm="1">
        <f t="array" ref="AJ218">F17</f>
        <v>1642128.96185</v>
      </c>
      <c r="AK218" s="118">
        <v>1902035.02314</v>
      </c>
      <c r="AL218" s="118">
        <v>2178636.08443</v>
      </c>
      <c r="AM218" s="118">
        <v>2329237.14572</v>
      </c>
      <c r="AN218" s="118">
        <v>2511338.20701</v>
      </c>
      <c r="AO218" s="118">
        <v>2665539.2683</v>
      </c>
      <c r="AP218" s="118">
        <v>2965540.32959</v>
      </c>
      <c r="AQ218" s="118">
        <v>3139541.39088</v>
      </c>
      <c r="AR218" s="118">
        <v>3439542.45217</v>
      </c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7"/>
    </row>
    <row r="219" ht="16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t="s" s="121">
        <v>89</v>
      </c>
      <c r="AF219" s="13"/>
      <c r="AG219" s="118" cm="1">
        <f t="array" ref="AG219">AG218</f>
        <v>1692201.45</v>
      </c>
      <c r="AH219" s="118" cm="1">
        <f t="array" ref="AH219">AG219+AH218</f>
        <v>3195140.16425625</v>
      </c>
      <c r="AI219" s="118" cm="1">
        <f t="array" ref="AI219">AH219+AI218</f>
        <v>5052922.01150625</v>
      </c>
      <c r="AJ219" s="118" cm="1">
        <f t="array" ref="AJ219">AI219+AJ218</f>
        <v>6695050.97335625</v>
      </c>
      <c r="AK219" s="118" cm="1">
        <f t="array" ref="AK219">AJ219+AK218</f>
        <v>8597085.996496251</v>
      </c>
      <c r="AL219" s="118" cm="1">
        <f t="array" ref="AL219">AK219+AL218</f>
        <v>10775722.0809263</v>
      </c>
      <c r="AM219" s="118" cm="1">
        <f t="array" ref="AM219">AL219+AM218</f>
        <v>13104959.2266463</v>
      </c>
      <c r="AN219" s="118" cm="1">
        <f t="array" ref="AN219">AM219+AN218</f>
        <v>15616297.4336563</v>
      </c>
      <c r="AO219" s="118" cm="1">
        <f t="array" ref="AO219">AN219+AO218</f>
        <v>18281836.7019563</v>
      </c>
      <c r="AP219" s="118" cm="1">
        <f t="array" ref="AP219">AO219+AP218</f>
        <v>21247377.0315463</v>
      </c>
      <c r="AQ219" s="118" cm="1">
        <f t="array" ref="AQ219">AP219+AQ218</f>
        <v>24386918.4224263</v>
      </c>
      <c r="AR219" s="118" cm="1">
        <f t="array" ref="AR219">AQ219+AR218</f>
        <v>27826460.8745963</v>
      </c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7"/>
    </row>
    <row r="220" ht="16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7"/>
    </row>
    <row r="221" ht="16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t="s" s="121">
        <v>90</v>
      </c>
      <c r="AF221" s="13"/>
      <c r="AG221" s="118">
        <v>1692201.45</v>
      </c>
      <c r="AH221" s="118">
        <v>1276895</v>
      </c>
      <c r="AI221" s="118">
        <v>1493681.92</v>
      </c>
      <c r="AJ221" s="118" cm="1">
        <f t="array" ref="AJ221">G17</f>
        <v>1507255.638</v>
      </c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7"/>
    </row>
    <row r="222" ht="16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t="s" s="121">
        <v>91</v>
      </c>
      <c r="AF222" s="13"/>
      <c r="AG222" s="118" cm="1">
        <f t="array" ref="AG222">AG221</f>
        <v>1692201.45</v>
      </c>
      <c r="AH222" s="118" cm="1">
        <f t="array" ref="AH222">AG222+AH221</f>
        <v>2969096.45</v>
      </c>
      <c r="AI222" s="118" cm="1">
        <f t="array" ref="AI222">AH222+AI221</f>
        <v>4462778.37</v>
      </c>
      <c r="AJ222" s="118" cm="1">
        <f t="array" ref="AJ222">AI222+AJ221</f>
        <v>5970034.008</v>
      </c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7"/>
    </row>
    <row r="223" ht="16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18" cm="1">
        <f t="array" ref="AG223">AG219-AG222</f>
        <v>0</v>
      </c>
      <c r="AH223" s="118" cm="1">
        <f t="array" ref="AH223">AH219-AH222</f>
        <v>226043.71425625</v>
      </c>
      <c r="AI223" s="118" cm="1">
        <f t="array" ref="AI223">AI219-AI222</f>
        <v>590143.64150625</v>
      </c>
      <c r="AJ223" s="118" cm="1">
        <f t="array" ref="AJ223">AJ219-AJ222</f>
        <v>725016.9653562499</v>
      </c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7"/>
    </row>
    <row r="224" ht="16" customHeight="1">
      <c r="A224" s="160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296"/>
      <c r="AH224" s="296"/>
      <c r="AI224" s="296"/>
      <c r="AJ224" s="296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2"/>
    </row>
  </sheetData>
  <mergeCells count="1">
    <mergeCell ref="D34:F3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X96"/>
  <sheetViews>
    <sheetView workbookViewId="0" showGridLines="0" defaultGridColor="1"/>
  </sheetViews>
  <sheetFormatPr defaultColWidth="8.83333" defaultRowHeight="15" customHeight="1" outlineLevelRow="0" outlineLevelCol="0"/>
  <cols>
    <col min="1" max="1" width="10.8516" style="297" customWidth="1"/>
    <col min="2" max="2" width="30.8516" style="297" customWidth="1"/>
    <col min="3" max="4" width="12.3516" style="297" customWidth="1"/>
    <col min="5" max="5" width="2" style="297" customWidth="1"/>
    <col min="6" max="24" width="11.6719" style="297" customWidth="1"/>
    <col min="25" max="16384" width="8.85156" style="297" customWidth="1"/>
  </cols>
  <sheetData>
    <row r="1" ht="16" customHeight="1">
      <c r="A1" s="298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8"/>
      <c r="M1" s="8"/>
      <c r="N1" s="8"/>
      <c r="O1" s="299"/>
      <c r="P1" s="299"/>
      <c r="Q1" s="299"/>
      <c r="R1" s="299"/>
      <c r="S1" s="299"/>
      <c r="T1" s="299"/>
      <c r="U1" s="299"/>
      <c r="V1" s="299"/>
      <c r="W1" s="299"/>
      <c r="X1" s="300"/>
    </row>
    <row r="2" ht="16" customHeight="1">
      <c r="A2" s="301"/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3"/>
      <c r="M2" s="13"/>
      <c r="N2" s="13"/>
      <c r="O2" s="302"/>
      <c r="P2" s="302"/>
      <c r="Q2" s="302"/>
      <c r="R2" s="302"/>
      <c r="S2" s="302"/>
      <c r="T2" s="302"/>
      <c r="U2" s="302"/>
      <c r="V2" s="302"/>
      <c r="W2" s="302"/>
      <c r="X2" s="303"/>
    </row>
    <row r="3" ht="16" customHeight="1">
      <c r="A3" s="301"/>
      <c r="B3" s="302"/>
      <c r="C3" t="s" s="304">
        <v>90</v>
      </c>
      <c r="D3" t="s" s="305">
        <v>181</v>
      </c>
      <c r="E3" s="306"/>
      <c r="F3" t="s" s="304">
        <v>90</v>
      </c>
      <c r="G3" t="s" s="307">
        <v>181</v>
      </c>
      <c r="H3" t="s" s="308">
        <v>90</v>
      </c>
      <c r="I3" t="s" s="307">
        <v>181</v>
      </c>
      <c r="J3" t="s" s="308">
        <v>90</v>
      </c>
      <c r="K3" t="s" s="305">
        <v>181</v>
      </c>
      <c r="L3" s="309"/>
      <c r="M3" t="s" s="310">
        <v>182</v>
      </c>
      <c r="N3" t="s" s="310">
        <v>182</v>
      </c>
      <c r="O3" t="s" s="311">
        <v>182</v>
      </c>
      <c r="P3" t="s" s="311">
        <v>183</v>
      </c>
      <c r="Q3" t="s" s="311">
        <v>183</v>
      </c>
      <c r="R3" t="s" s="311">
        <v>183</v>
      </c>
      <c r="S3" t="s" s="311">
        <v>183</v>
      </c>
      <c r="T3" t="s" s="311">
        <v>183</v>
      </c>
      <c r="U3" t="s" s="311">
        <v>183</v>
      </c>
      <c r="V3" t="s" s="311">
        <v>183</v>
      </c>
      <c r="W3" t="s" s="311">
        <v>183</v>
      </c>
      <c r="X3" t="s" s="312">
        <v>183</v>
      </c>
    </row>
    <row r="4" ht="16" customHeight="1">
      <c r="A4" s="301"/>
      <c r="B4" s="302"/>
      <c r="C4" s="313">
        <v>2025</v>
      </c>
      <c r="D4" s="313">
        <v>2026</v>
      </c>
      <c r="E4" s="302"/>
      <c r="F4" s="314">
        <v>46023</v>
      </c>
      <c r="G4" s="314">
        <v>46023</v>
      </c>
      <c r="H4" s="314" cm="1">
        <f t="array" ref="H4">I4</f>
        <v>46054</v>
      </c>
      <c r="I4" s="314" cm="1">
        <f t="array" ref="I4">EDATE(F4,1)</f>
        <v>46054</v>
      </c>
      <c r="J4" s="314" cm="1">
        <f t="array" ref="J4">EDATE(H4,1)</f>
        <v>46082</v>
      </c>
      <c r="K4" s="314" cm="1">
        <f t="array" ref="K4">EDATE(I4,1)</f>
        <v>46082</v>
      </c>
      <c r="L4" s="315"/>
      <c r="M4" s="315" cm="1">
        <f t="array" ref="M4">F4</f>
        <v>46023</v>
      </c>
      <c r="N4" s="315" cm="1">
        <f t="array" ref="N4">H4</f>
        <v>46054</v>
      </c>
      <c r="O4" s="314" cm="1">
        <f t="array" ref="O4">EDATE(N4,1)</f>
        <v>46082</v>
      </c>
      <c r="P4" s="314" cm="1">
        <f t="array" ref="P4">EDATE(O4,1)</f>
        <v>46113</v>
      </c>
      <c r="Q4" s="314" cm="1">
        <f t="array" ref="Q4">EDATE(P4,1)</f>
        <v>46143</v>
      </c>
      <c r="R4" s="314" cm="1">
        <f t="array" ref="R4">EDATE(Q4,1)</f>
        <v>46174</v>
      </c>
      <c r="S4" s="314" cm="1">
        <f t="array" ref="S4">EDATE(R4,1)</f>
        <v>46204</v>
      </c>
      <c r="T4" s="314" cm="1">
        <f t="array" ref="T4">EDATE(S4,1)</f>
        <v>46235</v>
      </c>
      <c r="U4" s="314" cm="1">
        <f t="array" ref="U4">EDATE(T4,1)</f>
        <v>46266</v>
      </c>
      <c r="V4" s="314" cm="1">
        <f t="array" ref="V4">EDATE(U4,1)</f>
        <v>46296</v>
      </c>
      <c r="W4" s="314" cm="1">
        <f t="array" ref="W4">EDATE(V4,1)</f>
        <v>46327</v>
      </c>
      <c r="X4" s="316" cm="1">
        <f t="array" ref="X4">EDATE(W4,1)</f>
        <v>46357</v>
      </c>
    </row>
    <row r="5" ht="16" customHeight="1">
      <c r="A5" s="301"/>
      <c r="B5" t="s" s="317">
        <v>184</v>
      </c>
      <c r="C5" s="318">
        <v>4</v>
      </c>
      <c r="D5" s="319">
        <v>7</v>
      </c>
      <c r="E5" s="320"/>
      <c r="F5" s="321">
        <v>6</v>
      </c>
      <c r="G5" s="319">
        <v>7</v>
      </c>
      <c r="H5" s="322" cm="1">
        <f t="array" ref="H5">G5</f>
        <v>7</v>
      </c>
      <c r="I5" s="323">
        <v>7</v>
      </c>
      <c r="J5" s="324" cm="1">
        <f t="array" ref="J5">I5</f>
        <v>7</v>
      </c>
      <c r="K5" s="324" cm="1">
        <f t="array" ref="K5">J5</f>
        <v>7</v>
      </c>
      <c r="L5" s="325"/>
      <c r="M5" s="326" cm="1">
        <f t="array" ref="M5">F5</f>
        <v>6</v>
      </c>
      <c r="N5" s="322" cm="1">
        <f t="array" ref="N5">H5</f>
        <v>7</v>
      </c>
      <c r="O5" s="322">
        <v>7</v>
      </c>
      <c r="P5" s="322" cm="1">
        <f t="array" ref="P5">O5</f>
        <v>7</v>
      </c>
      <c r="Q5" s="322" cm="1">
        <f t="array" ref="Q5">P5</f>
        <v>7</v>
      </c>
      <c r="R5" s="322" cm="1">
        <f t="array" ref="R5">Q5</f>
        <v>7</v>
      </c>
      <c r="S5" s="322" cm="1">
        <f t="array" ref="S5">R5</f>
        <v>7</v>
      </c>
      <c r="T5" s="322" cm="1">
        <f t="array" ref="T5">S5</f>
        <v>7</v>
      </c>
      <c r="U5" s="322" cm="1">
        <f t="array" ref="U5">T5</f>
        <v>7</v>
      </c>
      <c r="V5" s="322" cm="1">
        <f t="array" ref="V5">U5</f>
        <v>7</v>
      </c>
      <c r="W5" s="322" cm="1">
        <f t="array" ref="W5">V5</f>
        <v>7</v>
      </c>
      <c r="X5" s="322" cm="1">
        <f t="array" ref="X5">W5</f>
        <v>7</v>
      </c>
    </row>
    <row r="6" ht="8" customHeight="1">
      <c r="A6" s="301"/>
      <c r="B6" s="302"/>
      <c r="C6" s="306"/>
      <c r="D6" s="327"/>
      <c r="E6" s="328"/>
      <c r="F6" s="302"/>
      <c r="G6" s="306"/>
      <c r="H6" s="306"/>
      <c r="I6" s="302"/>
      <c r="J6" s="302"/>
      <c r="K6" s="302"/>
      <c r="L6" s="13"/>
      <c r="M6" s="13"/>
      <c r="N6" s="13"/>
      <c r="O6" s="302"/>
      <c r="P6" s="302"/>
      <c r="Q6" s="302"/>
      <c r="R6" s="302"/>
      <c r="S6" s="302"/>
      <c r="T6" s="302"/>
      <c r="U6" s="302"/>
      <c r="V6" s="302"/>
      <c r="W6" s="302"/>
      <c r="X6" s="303"/>
    </row>
    <row r="7" ht="16" customHeight="1">
      <c r="A7" s="301"/>
      <c r="B7" t="s" s="329">
        <v>185</v>
      </c>
      <c r="C7" s="330" cm="1">
        <f t="array" ref="C7">SUM(C8:C15)</f>
        <v>13695102.9523</v>
      </c>
      <c r="D7" s="331" cm="1">
        <f t="array" ref="D7">SUM(D8:D15)</f>
        <v>27284247.1076313</v>
      </c>
      <c r="E7" s="328"/>
      <c r="F7" s="330" cm="1">
        <f t="array" ref="F7">SUM(F8:F15)</f>
        <v>1692201.45</v>
      </c>
      <c r="G7" s="330">
        <v>1692201.45</v>
      </c>
      <c r="H7" s="330" cm="1">
        <f t="array" ref="H7">SUM(H8:H15)</f>
        <v>1276895.41</v>
      </c>
      <c r="I7" s="330" cm="1">
        <f t="array" ref="I7">SUM(I8:I15)</f>
        <v>1446688.71425625</v>
      </c>
      <c r="J7" s="330" cm="1">
        <f t="array" ref="J7">SUM(J8:J15)</f>
        <v>1494914.95</v>
      </c>
      <c r="K7" s="330" cm="1">
        <f t="array" ref="K7">SUM(K8:K15)</f>
        <v>1857781.84725</v>
      </c>
      <c r="L7" s="332"/>
      <c r="M7" s="332" cm="1">
        <f t="array" ref="M7">F7</f>
        <v>1692201.45</v>
      </c>
      <c r="N7" s="332" cm="1">
        <f t="array" ref="N7">H7</f>
        <v>1276895.41</v>
      </c>
      <c r="O7" s="330" cm="1">
        <f t="array" ref="O7">J7</f>
        <v>1494914.95</v>
      </c>
      <c r="P7" s="330" cm="1">
        <f t="array" ref="P7">SUM(P8:P15)</f>
        <v>1926520.408825</v>
      </c>
      <c r="Q7" s="330" cm="1">
        <f t="array" ref="Q7">SUM(Q8:Q15)</f>
        <v>2049258.9704</v>
      </c>
      <c r="R7" s="330" cm="1">
        <f t="array" ref="R7">SUM(R8:R15)</f>
        <v>2171997.531975</v>
      </c>
      <c r="S7" s="330" cm="1">
        <f t="array" ref="S7">SUM(S8:S15)</f>
        <v>2294736.09355</v>
      </c>
      <c r="T7" s="330" cm="1">
        <f t="array" ref="T7">SUM(T8:T15)</f>
        <v>2417474.655125</v>
      </c>
      <c r="U7" s="330" cm="1">
        <f t="array" ref="U7">SUM(U8:U15)</f>
        <v>2540213.2167</v>
      </c>
      <c r="V7" s="330" cm="1">
        <f t="array" ref="V7">SUM(V8:V15)</f>
        <v>2716951.778275</v>
      </c>
      <c r="W7" s="330" cm="1">
        <f t="array" ref="W7">SUM(W8:W15)</f>
        <v>2839690.33985</v>
      </c>
      <c r="X7" s="333" cm="1">
        <f t="array" ref="X7">SUM(X8:X15)</f>
        <v>3124428.901425</v>
      </c>
    </row>
    <row r="8" ht="16" customHeight="1">
      <c r="A8" s="301"/>
      <c r="B8" t="s" s="334">
        <v>62</v>
      </c>
      <c r="C8" s="335">
        <v>10389434.28</v>
      </c>
      <c r="D8" s="336">
        <v>12035150.68</v>
      </c>
      <c r="E8" s="328"/>
      <c r="F8" s="335">
        <v>826347.48</v>
      </c>
      <c r="G8" s="335">
        <v>826347.48</v>
      </c>
      <c r="H8" s="335">
        <v>640037.49</v>
      </c>
      <c r="I8" s="335">
        <v>652500</v>
      </c>
      <c r="J8" s="335">
        <v>955297.04</v>
      </c>
      <c r="K8" s="335">
        <v>900000</v>
      </c>
      <c r="L8" s="337"/>
      <c r="M8" s="337" cm="1">
        <f t="array" ref="M8">F8</f>
        <v>826347.48</v>
      </c>
      <c r="N8" s="337" cm="1">
        <f t="array" ref="N8">H8</f>
        <v>640037.49</v>
      </c>
      <c r="O8" s="335" cm="1">
        <f t="array" ref="O8">J8</f>
        <v>955297.04</v>
      </c>
      <c r="P8" s="335">
        <v>930000</v>
      </c>
      <c r="Q8" s="335">
        <v>960000</v>
      </c>
      <c r="R8" s="335">
        <v>990000</v>
      </c>
      <c r="S8" s="335">
        <v>1020000</v>
      </c>
      <c r="T8" s="335">
        <v>1050000</v>
      </c>
      <c r="U8" s="335">
        <v>1080000</v>
      </c>
      <c r="V8" s="335">
        <v>1110000</v>
      </c>
      <c r="W8" s="335">
        <v>1140000</v>
      </c>
      <c r="X8" s="338">
        <v>1170000</v>
      </c>
    </row>
    <row r="9" ht="16" customHeight="1">
      <c r="A9" s="301"/>
      <c r="B9" t="s" s="334">
        <v>64</v>
      </c>
      <c r="C9" s="335">
        <v>2559447.03</v>
      </c>
      <c r="D9" s="336">
        <v>2957317.53263125</v>
      </c>
      <c r="E9" s="328"/>
      <c r="F9" s="335">
        <v>206303.2</v>
      </c>
      <c r="G9" s="335">
        <v>206303.2</v>
      </c>
      <c r="H9" s="335">
        <v>161203.34</v>
      </c>
      <c r="I9" s="335">
        <v>163148.08925625</v>
      </c>
      <c r="J9" s="335">
        <v>83754.63</v>
      </c>
      <c r="K9" s="335">
        <v>225031.84725</v>
      </c>
      <c r="L9" s="337"/>
      <c r="M9" s="337" cm="1">
        <f t="array" ref="M9">F9</f>
        <v>206303.2</v>
      </c>
      <c r="N9" s="337" cm="1">
        <f t="array" ref="N9">H9</f>
        <v>161203.34</v>
      </c>
      <c r="O9" s="335" cm="1">
        <f t="array" ref="O9">J9</f>
        <v>83754.63</v>
      </c>
      <c r="P9" s="335">
        <v>232532.908825</v>
      </c>
      <c r="Q9" s="335">
        <v>240033.9704</v>
      </c>
      <c r="R9" s="335">
        <v>247535.031975</v>
      </c>
      <c r="S9" s="335">
        <v>255036.09355</v>
      </c>
      <c r="T9" s="335">
        <v>262537.155125</v>
      </c>
      <c r="U9" s="335">
        <v>270038.2167</v>
      </c>
      <c r="V9" s="335">
        <v>277539.278275</v>
      </c>
      <c r="W9" s="335">
        <v>285040.33985</v>
      </c>
      <c r="X9" s="338">
        <v>292541.401425</v>
      </c>
    </row>
    <row r="10" ht="16" customHeight="1">
      <c r="A10" s="301"/>
      <c r="B10" t="s" s="334">
        <v>69</v>
      </c>
      <c r="C10" s="335">
        <v>449297.4223</v>
      </c>
      <c r="D10" s="336">
        <v>908065.53</v>
      </c>
      <c r="E10" s="328"/>
      <c r="F10" s="335">
        <v>101815.53</v>
      </c>
      <c r="G10" s="335">
        <v>101815.53</v>
      </c>
      <c r="H10" s="335">
        <v>57639.62</v>
      </c>
      <c r="I10" s="335">
        <v>71250</v>
      </c>
      <c r="J10" s="335">
        <v>64098.57</v>
      </c>
      <c r="K10" s="335">
        <v>60000</v>
      </c>
      <c r="L10" s="337"/>
      <c r="M10" s="337" cm="1">
        <f t="array" ref="M10">F10</f>
        <v>101815.53</v>
      </c>
      <c r="N10" s="337" cm="1">
        <f t="array" ref="N10">H10</f>
        <v>57639.62</v>
      </c>
      <c r="O10" s="335" cm="1">
        <f t="array" ref="O10">J10</f>
        <v>64098.57</v>
      </c>
      <c r="P10" s="335">
        <v>63000</v>
      </c>
      <c r="Q10" s="335">
        <v>66000</v>
      </c>
      <c r="R10" s="335">
        <v>69000</v>
      </c>
      <c r="S10" s="335">
        <v>72000</v>
      </c>
      <c r="T10" s="335">
        <v>75000</v>
      </c>
      <c r="U10" s="335">
        <v>78000</v>
      </c>
      <c r="V10" s="335">
        <v>81000</v>
      </c>
      <c r="W10" s="335">
        <v>84000</v>
      </c>
      <c r="X10" s="338">
        <v>87000</v>
      </c>
    </row>
    <row r="11" ht="16" customHeight="1">
      <c r="A11" s="301"/>
      <c r="B11" t="s" s="334">
        <v>68</v>
      </c>
      <c r="C11" s="335">
        <v>120278</v>
      </c>
      <c r="D11" s="336">
        <v>750241.71</v>
      </c>
      <c r="E11" s="328"/>
      <c r="F11" s="335">
        <v>44772.96</v>
      </c>
      <c r="G11" s="335">
        <v>44772.96</v>
      </c>
      <c r="H11" s="335">
        <v>56254.08</v>
      </c>
      <c r="I11" s="335">
        <v>62343.75</v>
      </c>
      <c r="J11" s="335">
        <v>57476.63</v>
      </c>
      <c r="K11" s="335">
        <v>52500</v>
      </c>
      <c r="L11" s="337"/>
      <c r="M11" s="337" cm="1">
        <f t="array" ref="M11">F11</f>
        <v>44772.96</v>
      </c>
      <c r="N11" s="337" cm="1">
        <f t="array" ref="N11">H11</f>
        <v>56254.08</v>
      </c>
      <c r="O11" s="335" cm="1">
        <f t="array" ref="O11">J11</f>
        <v>57476.63</v>
      </c>
      <c r="P11" s="335">
        <v>55125</v>
      </c>
      <c r="Q11" s="335">
        <v>57750</v>
      </c>
      <c r="R11" s="335">
        <v>60375</v>
      </c>
      <c r="S11" s="335">
        <v>63000</v>
      </c>
      <c r="T11" s="335">
        <v>65625</v>
      </c>
      <c r="U11" s="335">
        <v>68250</v>
      </c>
      <c r="V11" s="335">
        <v>70875</v>
      </c>
      <c r="W11" s="335">
        <v>73500</v>
      </c>
      <c r="X11" s="338">
        <v>76125</v>
      </c>
    </row>
    <row r="12" ht="16" customHeight="1">
      <c r="A12" s="301"/>
      <c r="B12" t="s" s="334">
        <v>67</v>
      </c>
      <c r="C12" s="335">
        <v>150579.22</v>
      </c>
      <c r="D12" s="336">
        <v>821472.335</v>
      </c>
      <c r="E12" s="328"/>
      <c r="F12" s="335">
        <v>65612.960000000006</v>
      </c>
      <c r="G12" s="335">
        <v>65612.960000000006</v>
      </c>
      <c r="H12" s="335">
        <v>40901.8</v>
      </c>
      <c r="I12" s="335">
        <v>66796.875</v>
      </c>
      <c r="J12" s="335">
        <v>258958.43</v>
      </c>
      <c r="K12" s="335">
        <v>56250</v>
      </c>
      <c r="L12" s="337"/>
      <c r="M12" s="337" cm="1">
        <f t="array" ref="M12">F12</f>
        <v>65612.960000000006</v>
      </c>
      <c r="N12" s="337" cm="1">
        <f t="array" ref="N12">H12</f>
        <v>40901.8</v>
      </c>
      <c r="O12" s="335" cm="1">
        <f t="array" ref="O12">J12</f>
        <v>258958.43</v>
      </c>
      <c r="P12" s="335">
        <v>59062.5</v>
      </c>
      <c r="Q12" s="335">
        <v>61875</v>
      </c>
      <c r="R12" s="335">
        <v>64687.5</v>
      </c>
      <c r="S12" s="335">
        <v>67500</v>
      </c>
      <c r="T12" s="335">
        <v>70312.5</v>
      </c>
      <c r="U12" s="335">
        <v>73125</v>
      </c>
      <c r="V12" s="335">
        <v>75937.5</v>
      </c>
      <c r="W12" s="335">
        <v>78750</v>
      </c>
      <c r="X12" s="338">
        <v>81562.5</v>
      </c>
    </row>
    <row r="13" ht="16" customHeight="1">
      <c r="A13" s="301"/>
      <c r="B13" t="s" s="334">
        <v>65</v>
      </c>
      <c r="C13" s="335">
        <v>0</v>
      </c>
      <c r="D13" s="336">
        <v>4448179.73</v>
      </c>
      <c r="E13" s="328"/>
      <c r="F13" s="335">
        <v>425179.73</v>
      </c>
      <c r="G13" s="335">
        <v>425179.73</v>
      </c>
      <c r="H13" s="335">
        <v>296516</v>
      </c>
      <c r="I13" s="335">
        <v>405000</v>
      </c>
      <c r="J13" s="335">
        <v>22390.94</v>
      </c>
      <c r="K13" s="335">
        <v>378000</v>
      </c>
      <c r="L13" s="337"/>
      <c r="M13" s="337" cm="1">
        <f t="array" ref="M13">F13</f>
        <v>425179.73</v>
      </c>
      <c r="N13" s="337" cm="1">
        <f t="array" ref="N13">H13</f>
        <v>296516</v>
      </c>
      <c r="O13" s="335" cm="1">
        <f t="array" ref="O13">J13</f>
        <v>22390.94</v>
      </c>
      <c r="P13" s="335">
        <v>324000</v>
      </c>
      <c r="Q13" s="335">
        <v>324000</v>
      </c>
      <c r="R13" s="335">
        <v>324000</v>
      </c>
      <c r="S13" s="335">
        <v>324000</v>
      </c>
      <c r="T13" s="335">
        <v>324000</v>
      </c>
      <c r="U13" s="335">
        <v>324000</v>
      </c>
      <c r="V13" s="335">
        <v>378000</v>
      </c>
      <c r="W13" s="335">
        <v>378000</v>
      </c>
      <c r="X13" s="338">
        <v>540000</v>
      </c>
    </row>
    <row r="14" ht="16" customHeight="1">
      <c r="A14" s="301"/>
      <c r="B14" t="s" s="334">
        <v>70</v>
      </c>
      <c r="C14" s="335">
        <v>26067</v>
      </c>
      <c r="D14" s="336">
        <v>488819.59</v>
      </c>
      <c r="E14" s="328"/>
      <c r="F14" s="335">
        <v>22169.59</v>
      </c>
      <c r="G14" s="335">
        <v>22169.59</v>
      </c>
      <c r="H14" s="335">
        <v>24343.08</v>
      </c>
      <c r="I14" s="335">
        <v>25650</v>
      </c>
      <c r="J14" s="335">
        <v>52938.71</v>
      </c>
      <c r="K14" s="335">
        <v>36000</v>
      </c>
      <c r="L14" s="337"/>
      <c r="M14" s="337" cm="1">
        <f t="array" ref="M14">F14</f>
        <v>22169.59</v>
      </c>
      <c r="N14" s="337" cm="1">
        <f t="array" ref="N14">H14</f>
        <v>24343.08</v>
      </c>
      <c r="O14" s="335" cm="1">
        <f t="array" ref="O14">J14</f>
        <v>52938.71</v>
      </c>
      <c r="P14" s="335">
        <v>37800</v>
      </c>
      <c r="Q14" s="335">
        <v>39600</v>
      </c>
      <c r="R14" s="335">
        <v>41400</v>
      </c>
      <c r="S14" s="335">
        <v>43200</v>
      </c>
      <c r="T14" s="335">
        <v>45000</v>
      </c>
      <c r="U14" s="335">
        <v>46800</v>
      </c>
      <c r="V14" s="335">
        <v>48600</v>
      </c>
      <c r="W14" s="335">
        <v>50400</v>
      </c>
      <c r="X14" s="338">
        <v>52200</v>
      </c>
    </row>
    <row r="15" ht="15.75" customHeight="1">
      <c r="A15" s="301"/>
      <c r="B15" t="s" s="334">
        <v>186</v>
      </c>
      <c r="C15" s="335">
        <v>0</v>
      </c>
      <c r="D15" s="339">
        <v>4875000</v>
      </c>
      <c r="E15" s="328"/>
      <c r="F15" s="340">
        <v>0</v>
      </c>
      <c r="G15" s="340">
        <v>0</v>
      </c>
      <c r="H15" s="340">
        <v>0</v>
      </c>
      <c r="I15" s="340">
        <v>0</v>
      </c>
      <c r="J15" s="335">
        <v>0</v>
      </c>
      <c r="K15" s="335">
        <v>150000</v>
      </c>
      <c r="L15" s="337"/>
      <c r="M15" s="341" cm="1">
        <f t="array" ref="M15">F15</f>
        <v>0</v>
      </c>
      <c r="N15" s="341" cm="1">
        <f t="array" ref="N15">H15</f>
        <v>0</v>
      </c>
      <c r="O15" s="340" cm="1">
        <f t="array" ref="O15">J15</f>
        <v>0</v>
      </c>
      <c r="P15" s="340">
        <v>225000</v>
      </c>
      <c r="Q15" s="340">
        <v>300000</v>
      </c>
      <c r="R15" s="340">
        <v>375000</v>
      </c>
      <c r="S15" s="340">
        <v>450000</v>
      </c>
      <c r="T15" s="340">
        <v>525000</v>
      </c>
      <c r="U15" s="340">
        <v>600000</v>
      </c>
      <c r="V15" s="340">
        <v>675000</v>
      </c>
      <c r="W15" s="340">
        <v>750000</v>
      </c>
      <c r="X15" s="342">
        <v>825000</v>
      </c>
    </row>
    <row r="16" ht="16.5" customHeight="1">
      <c r="A16" s="301"/>
      <c r="B16" t="s" s="343">
        <v>187</v>
      </c>
      <c r="C16" s="344">
        <v>-1496546.04539675</v>
      </c>
      <c r="D16" s="345">
        <v>-3085122.50613198</v>
      </c>
      <c r="E16" s="346"/>
      <c r="F16" s="347">
        <v>-245572.01</v>
      </c>
      <c r="G16" s="345" cm="1">
        <f t="array" ref="G16">F16</f>
        <v>-245572.01</v>
      </c>
      <c r="H16" s="345">
        <v>-196034.61</v>
      </c>
      <c r="I16" s="348">
        <v>-193259.231700765</v>
      </c>
      <c r="J16" s="349">
        <v>-253812.67</v>
      </c>
      <c r="K16" s="349">
        <v>-164802.190413545</v>
      </c>
      <c r="L16" s="332"/>
      <c r="M16" s="350" cm="1">
        <f t="array" ref="M16">F16</f>
        <v>-245572.01</v>
      </c>
      <c r="N16" s="351" cm="1">
        <f t="array" ref="N16">H16</f>
        <v>-196034.61</v>
      </c>
      <c r="O16" s="345" cm="1">
        <f t="array" ref="O16">J16</f>
        <v>-253812.67</v>
      </c>
      <c r="P16" s="345">
        <v>-211632.616415843</v>
      </c>
      <c r="Q16" s="345">
        <v>-219463.095358413</v>
      </c>
      <c r="R16" s="345">
        <v>-233445.083049639</v>
      </c>
      <c r="S16" s="345">
        <v>-247427.070740866</v>
      </c>
      <c r="T16" s="345">
        <v>-261409.058432093</v>
      </c>
      <c r="U16" s="345">
        <v>-275391.04612332</v>
      </c>
      <c r="V16" s="345">
        <v>-289373.033814547</v>
      </c>
      <c r="W16" s="345">
        <v>-309506.530254432</v>
      </c>
      <c r="X16" s="345">
        <v>-323488.517945659</v>
      </c>
    </row>
    <row r="17" ht="15.75" customHeight="1">
      <c r="A17" s="301"/>
      <c r="B17" t="s" s="352">
        <v>188</v>
      </c>
      <c r="C17" s="353" cm="1">
        <f t="array" ref="C17">C16+C7</f>
        <v>12198556.9069033</v>
      </c>
      <c r="D17" s="354" cm="1">
        <f t="array" ref="D17">D16+D7</f>
        <v>24199124.6014993</v>
      </c>
      <c r="E17" s="346"/>
      <c r="F17" s="353" cm="1">
        <f t="array" ref="F17">F16+F7</f>
        <v>1446629.44</v>
      </c>
      <c r="G17" s="354" cm="1">
        <f t="array" ref="G17">G16+G7</f>
        <v>1446629.44</v>
      </c>
      <c r="H17" s="354" cm="1">
        <f t="array" ref="H17">H16+H7</f>
        <v>1080860.8</v>
      </c>
      <c r="I17" s="355" cm="1">
        <f t="array" ref="I17">I16+I7</f>
        <v>1253429.48255549</v>
      </c>
      <c r="J17" s="356" cm="1">
        <f t="array" ref="J17">J16+J7</f>
        <v>1241102.28</v>
      </c>
      <c r="K17" s="356" cm="1">
        <f t="array" ref="K17">K16+K7</f>
        <v>1692979.65683646</v>
      </c>
      <c r="L17" s="332"/>
      <c r="M17" s="357" cm="1">
        <f t="array" ref="M17">F17</f>
        <v>1446629.44</v>
      </c>
      <c r="N17" s="358" cm="1">
        <f t="array" ref="N17">H17</f>
        <v>1080860.8</v>
      </c>
      <c r="O17" s="354" cm="1">
        <f t="array" ref="O17">J17</f>
        <v>1241102.28</v>
      </c>
      <c r="P17" s="354" cm="1">
        <f t="array" ref="P17">P16+P7</f>
        <v>1714887.79240916</v>
      </c>
      <c r="Q17" s="354" cm="1">
        <f t="array" ref="Q17">Q16+Q7</f>
        <v>1829795.87504159</v>
      </c>
      <c r="R17" s="354" cm="1">
        <f t="array" ref="R17">R16+R7</f>
        <v>1938552.44892536</v>
      </c>
      <c r="S17" s="354" cm="1">
        <f t="array" ref="S17">S16+S7</f>
        <v>2047309.02280913</v>
      </c>
      <c r="T17" s="354" cm="1">
        <f t="array" ref="T17">T16+T7</f>
        <v>2156065.59669291</v>
      </c>
      <c r="U17" s="354" cm="1">
        <f t="array" ref="U17">U16+U7</f>
        <v>2264822.17057668</v>
      </c>
      <c r="V17" s="354" cm="1">
        <f t="array" ref="V17">V16+V7</f>
        <v>2427578.74446045</v>
      </c>
      <c r="W17" s="354" cm="1">
        <f t="array" ref="W17">W16+W7</f>
        <v>2530183.80959557</v>
      </c>
      <c r="X17" s="354" cm="1">
        <f t="array" ref="X17">X16+X7</f>
        <v>2800940.38347934</v>
      </c>
    </row>
    <row r="18" ht="16.5" customHeight="1">
      <c r="A18" s="301"/>
      <c r="B18" t="s" s="359">
        <v>189</v>
      </c>
      <c r="C18" s="360">
        <v>-4019615.85</v>
      </c>
      <c r="D18" s="361">
        <v>-6295541.3980525</v>
      </c>
      <c r="E18" s="346"/>
      <c r="F18" s="362">
        <v>-508299.97</v>
      </c>
      <c r="G18" s="361">
        <v>-462085.135</v>
      </c>
      <c r="H18" s="361">
        <v>-396373.37</v>
      </c>
      <c r="I18" s="361">
        <v>-336217.3607025</v>
      </c>
      <c r="J18" s="361">
        <v>-479655.990180699</v>
      </c>
      <c r="K18" s="363">
        <v>-428562.7389</v>
      </c>
      <c r="L18" s="364"/>
      <c r="M18" s="365" cm="1">
        <f t="array" ref="M18">F18</f>
        <v>-508299.97</v>
      </c>
      <c r="N18" s="366" cm="1">
        <f t="array" ref="N18">H18</f>
        <v>-396373.37</v>
      </c>
      <c r="O18" s="363" cm="1">
        <f t="array" ref="O18">J18</f>
        <v>-479655.990180699</v>
      </c>
      <c r="P18" s="363">
        <v>-444410.66353</v>
      </c>
      <c r="Q18" s="363">
        <v>-471058.58816</v>
      </c>
      <c r="R18" s="363">
        <v>-497706.51279</v>
      </c>
      <c r="S18" s="363">
        <v>-524354.43742</v>
      </c>
      <c r="T18" s="363">
        <v>-551002.36205</v>
      </c>
      <c r="U18" s="363">
        <v>-577650.28668</v>
      </c>
      <c r="V18" s="363">
        <v>-615098.21131</v>
      </c>
      <c r="W18" s="363">
        <v>-641746.1359399999</v>
      </c>
      <c r="X18" s="363">
        <v>-700794.06057</v>
      </c>
    </row>
    <row r="19" ht="16" customHeight="1">
      <c r="A19" s="301"/>
      <c r="B19" t="s" s="367">
        <v>190</v>
      </c>
      <c r="C19" s="368" cm="1">
        <f t="array" ref="C19">C18/C7</f>
        <v>-0.293507530684531</v>
      </c>
      <c r="D19" s="369" cm="1">
        <f t="array" ref="D19">D18/D7</f>
        <v>-0.23073905514848</v>
      </c>
      <c r="E19" s="346"/>
      <c r="F19" s="370" cm="1">
        <f t="array" ref="F19">F18/F7</f>
        <v>-0.300377930771777</v>
      </c>
      <c r="G19" s="369" cm="1">
        <f t="array" ref="G19">G18/G7</f>
        <v>-0.27306745009585</v>
      </c>
      <c r="H19" s="369" cm="1">
        <f t="array" ref="H19">H18/H7</f>
        <v>-0.310419605940944</v>
      </c>
      <c r="I19" s="371" cm="1">
        <f t="array" ref="I19">I18/I7</f>
        <v>-0.232404771938344</v>
      </c>
      <c r="J19" s="372" cm="1">
        <f t="array" ref="J19">J18/J7</f>
        <v>-0.320858380726408</v>
      </c>
      <c r="K19" s="372" cm="1">
        <f t="array" ref="K19">K18/K7</f>
        <v>-0.230685179497466</v>
      </c>
      <c r="L19" s="373"/>
      <c r="M19" s="374" cm="1">
        <f t="array" ref="M19">F19</f>
        <v>-0.300377930771777</v>
      </c>
      <c r="N19" s="375" cm="1">
        <f t="array" ref="N19">H19</f>
        <v>-0.310419605940944</v>
      </c>
      <c r="O19" s="369" cm="1">
        <f t="array" ref="O19">J19</f>
        <v>-0.320858380726408</v>
      </c>
      <c r="P19" s="369" cm="1">
        <f t="array" ref="P19">P18/P7</f>
        <v>-0.230680485653951</v>
      </c>
      <c r="Q19" s="369" cm="1">
        <f t="array" ref="Q19">Q18/Q7</f>
        <v>-0.229867769259077</v>
      </c>
      <c r="R19" s="369" cm="1">
        <f t="array" ref="R19">R18/R7</f>
        <v>-0.229146905308605</v>
      </c>
      <c r="S19" s="369" cm="1">
        <f t="array" ref="S19">S18/S7</f>
        <v>-0.228503155065999</v>
      </c>
      <c r="T19" s="369" cm="1">
        <f t="array" ref="T19">T18/T7</f>
        <v>-0.227924773019599</v>
      </c>
      <c r="U19" s="369" cm="1">
        <f t="array" ref="U19">U18/U7</f>
        <v>-0.227402283746255</v>
      </c>
      <c r="V19" s="369" cm="1">
        <f t="array" ref="V19">V18/V7</f>
        <v>-0.226392759793671</v>
      </c>
      <c r="W19" s="369" cm="1">
        <f t="array" ref="W19">W18/W7</f>
        <v>-0.22599159032738</v>
      </c>
      <c r="X19" s="369" cm="1">
        <f t="array" ref="X19">X18/X7</f>
        <v>-0.224295089656346</v>
      </c>
    </row>
    <row r="20" ht="15.75" customHeight="1">
      <c r="A20" s="301"/>
      <c r="B20" t="s" s="352">
        <v>191</v>
      </c>
      <c r="C20" s="376" cm="1">
        <f t="array" ref="C20">C18+C17</f>
        <v>8178941.0569033</v>
      </c>
      <c r="D20" s="354" cm="1">
        <f t="array" ref="D20">D18+D17</f>
        <v>17903583.2034468</v>
      </c>
      <c r="E20" s="346"/>
      <c r="F20" s="353" cm="1">
        <f t="array" ref="F20">F18+F17</f>
        <v>938329.47</v>
      </c>
      <c r="G20" s="354" cm="1">
        <f t="array" ref="G20">G18+G17</f>
        <v>984544.3050000001</v>
      </c>
      <c r="H20" s="354" cm="1">
        <f t="array" ref="H20">H18+H17</f>
        <v>684487.4300000001</v>
      </c>
      <c r="I20" s="355" cm="1">
        <f t="array" ref="I20">I18+I17</f>
        <v>917212.12185299</v>
      </c>
      <c r="J20" s="356" cm="1">
        <f t="array" ref="J20">J18+J17</f>
        <v>761446.289819301</v>
      </c>
      <c r="K20" s="356" cm="1">
        <f t="array" ref="K20">K18+K17</f>
        <v>1264416.91793646</v>
      </c>
      <c r="L20" s="332"/>
      <c r="M20" s="357" cm="1">
        <f t="array" ref="M20">F20</f>
        <v>938329.47</v>
      </c>
      <c r="N20" s="358" cm="1">
        <f t="array" ref="N20">H20</f>
        <v>684487.4300000001</v>
      </c>
      <c r="O20" s="354" cm="1">
        <f t="array" ref="O20">J20</f>
        <v>761446.289819301</v>
      </c>
      <c r="P20" s="354" cm="1">
        <f t="array" ref="P20">P18+P17</f>
        <v>1270477.12887916</v>
      </c>
      <c r="Q20" s="354" cm="1">
        <f t="array" ref="Q20">Q18+Q17</f>
        <v>1358737.28688159</v>
      </c>
      <c r="R20" s="354" cm="1">
        <f t="array" ref="R20">R18+R17</f>
        <v>1440845.93613536</v>
      </c>
      <c r="S20" s="354" cm="1">
        <f t="array" ref="S20">S18+S17</f>
        <v>1522954.58538913</v>
      </c>
      <c r="T20" s="354" cm="1">
        <f t="array" ref="T20">T18+T17</f>
        <v>1605063.23464291</v>
      </c>
      <c r="U20" s="354" cm="1">
        <f t="array" ref="U20">U18+U17</f>
        <v>1687171.88389668</v>
      </c>
      <c r="V20" s="354" cm="1">
        <f t="array" ref="V20">V18+V17</f>
        <v>1812480.53315045</v>
      </c>
      <c r="W20" s="354" cm="1">
        <f t="array" ref="W20">W18+W17</f>
        <v>1888437.67365557</v>
      </c>
      <c r="X20" s="354" cm="1">
        <f t="array" ref="X20">X18+X17</f>
        <v>2100146.32290934</v>
      </c>
    </row>
    <row r="21" ht="16.5" customHeight="1">
      <c r="A21" s="301"/>
      <c r="B21" t="s" s="359">
        <v>192</v>
      </c>
      <c r="C21" s="362" cm="1">
        <f t="array" ref="C21">C22+C23</f>
        <v>-8287581.66</v>
      </c>
      <c r="D21" s="361" cm="1">
        <f t="array" ref="D21">D22+D23</f>
        <v>-11802675.3686094</v>
      </c>
      <c r="E21" s="346"/>
      <c r="F21" s="362" cm="1">
        <f t="array" ref="F21">F22+F23</f>
        <v>-1173111.82</v>
      </c>
      <c r="G21" s="361" cm="1">
        <f t="array" ref="G21">G22+G23</f>
        <v>-899741.4365976549</v>
      </c>
      <c r="H21" s="361" cm="1">
        <f t="array" ref="H21">H22+H23</f>
        <v>-875908.6800000001</v>
      </c>
      <c r="I21" s="361" cm="1">
        <f t="array" ref="I21">I22+I23</f>
        <v>-889465.962887229</v>
      </c>
      <c r="J21" s="361" cm="1">
        <f t="array" ref="J21">J22+J23</f>
        <v>-1340172.71</v>
      </c>
      <c r="K21" s="361" cm="1">
        <f t="array" ref="K21">K22+K23</f>
        <v>-959985.577960905</v>
      </c>
      <c r="L21" s="364"/>
      <c r="M21" s="377" cm="1">
        <f t="array" ref="M21">M22+M23</f>
        <v>-1173111.82</v>
      </c>
      <c r="N21" s="378" cm="1">
        <f t="array" ref="N21">N22+N23</f>
        <v>-875908.6800000001</v>
      </c>
      <c r="O21" s="361" cm="1">
        <f t="array" ref="O21">O22+O23</f>
        <v>-1329899.67</v>
      </c>
      <c r="P21" s="361" cm="1">
        <f t="array" ref="P21">P22+P23</f>
        <v>-998917.4296968071</v>
      </c>
      <c r="Q21" s="361" cm="1">
        <f t="array" ref="Q21">Q22+Q23</f>
        <v>-1027595.16010188</v>
      </c>
      <c r="R21" s="361" cm="1">
        <f t="array" ref="R21">R22+R23</f>
        <v>-1053022.89050695</v>
      </c>
      <c r="S21" s="361" cm="1">
        <f t="array" ref="S21">S22+S23</f>
        <v>-1078450.62091202</v>
      </c>
      <c r="T21" s="361" cm="1">
        <f t="array" ref="T21">T22+T23</f>
        <v>-1103878.35131709</v>
      </c>
      <c r="U21" s="361" cm="1">
        <f t="array" ref="U21">U22+U23</f>
        <v>-1129306.08172217</v>
      </c>
      <c r="V21" s="361" cm="1">
        <f t="array" ref="V21">V22+V23</f>
        <v>-1162320.33949601</v>
      </c>
      <c r="W21" s="361" cm="1">
        <f t="array" ref="W21">W22+W23</f>
        <v>-1187748.06990108</v>
      </c>
      <c r="X21" s="361" cm="1">
        <f t="array" ref="X21">X22+X23</f>
        <v>-1235935.38241246</v>
      </c>
    </row>
    <row r="22" ht="16" customHeight="1">
      <c r="A22" s="301"/>
      <c r="B22" t="s" s="379">
        <v>193</v>
      </c>
      <c r="C22" s="330">
        <v>-4624228.85</v>
      </c>
      <c r="D22" s="330">
        <v>-6178276.9622084</v>
      </c>
      <c r="E22" s="380"/>
      <c r="F22" s="330">
        <v>-607518.41</v>
      </c>
      <c r="G22" s="330">
        <v>-554503.2547920001</v>
      </c>
      <c r="H22" s="330">
        <v>-493099.73</v>
      </c>
      <c r="I22" s="330">
        <v>-544680.52256225</v>
      </c>
      <c r="J22" s="330">
        <v>-503372.77</v>
      </c>
      <c r="K22" s="330">
        <v>-561124.2478820001</v>
      </c>
      <c r="L22" s="332"/>
      <c r="M22" s="332">
        <v>-607518.41</v>
      </c>
      <c r="N22" s="332">
        <v>-493099.73</v>
      </c>
      <c r="O22" s="330">
        <v>-493099.73</v>
      </c>
      <c r="P22" s="330">
        <v>-584964.4390446</v>
      </c>
      <c r="Q22" s="330">
        <v>-593123.9815076001</v>
      </c>
      <c r="R22" s="330">
        <v>-598033.5239706</v>
      </c>
      <c r="S22" s="330">
        <v>-602943.0664336</v>
      </c>
      <c r="T22" s="330">
        <v>-607852.6088966</v>
      </c>
      <c r="U22" s="330">
        <v>-612762.1513596</v>
      </c>
      <c r="V22" s="330">
        <v>-619831.6938225999</v>
      </c>
      <c r="W22" s="330">
        <v>-624741.2362856</v>
      </c>
      <c r="X22" s="333">
        <v>-636130.7787486</v>
      </c>
    </row>
    <row r="23" ht="16" customHeight="1">
      <c r="A23" s="301"/>
      <c r="B23" t="s" s="379">
        <v>194</v>
      </c>
      <c r="C23" s="381" cm="1">
        <f t="array" ref="C23">SUM(C24:C39)</f>
        <v>-3663352.81</v>
      </c>
      <c r="D23" s="381" cm="1">
        <f t="array" ref="D23">SUM(D24:D39)</f>
        <v>-5624398.40640095</v>
      </c>
      <c r="E23" s="382"/>
      <c r="F23" s="383" cm="1">
        <f t="array" ref="F23">SUM(F24:F39)</f>
        <v>-565593.41</v>
      </c>
      <c r="G23" s="330" cm="1">
        <f t="array" ref="G23">SUM(G24:G39)</f>
        <v>-345238.181805655</v>
      </c>
      <c r="H23" s="330" cm="1">
        <f t="array" ref="H23">SUM(H24:H39)</f>
        <v>-382808.95</v>
      </c>
      <c r="I23" s="330" cm="1">
        <f t="array" ref="I23">SUM(I24:I39)</f>
        <v>-344785.440324979</v>
      </c>
      <c r="J23" s="330" cm="1">
        <f t="array" ref="J23">SUM(J24:J39)</f>
        <v>-836799.9399999999</v>
      </c>
      <c r="K23" s="330" cm="1">
        <f t="array" ref="K23">SUM(K24:K39)</f>
        <v>-398861.330078905</v>
      </c>
      <c r="L23" s="332"/>
      <c r="M23" s="332" cm="1">
        <f t="array" ref="M23">F23</f>
        <v>-565593.41</v>
      </c>
      <c r="N23" s="332" cm="1">
        <f t="array" ref="N23">H23</f>
        <v>-382808.95</v>
      </c>
      <c r="O23" s="330" cm="1">
        <f t="array" ref="O23">J23</f>
        <v>-836799.9399999999</v>
      </c>
      <c r="P23" s="330" cm="1">
        <f t="array" ref="P23">SUM(P24:P39)</f>
        <v>-413952.990652207</v>
      </c>
      <c r="Q23" s="330" cm="1">
        <f t="array" ref="Q23">SUM(Q24:Q39)</f>
        <v>-434471.178594278</v>
      </c>
      <c r="R23" s="330" cm="1">
        <f t="array" ref="R23">SUM(R24:R39)</f>
        <v>-454989.36653635</v>
      </c>
      <c r="S23" s="330" cm="1">
        <f t="array" ref="S23">SUM(S24:S39)</f>
        <v>-475507.554478422</v>
      </c>
      <c r="T23" s="330" cm="1">
        <f t="array" ref="T23">SUM(T24:T39)</f>
        <v>-496025.742420494</v>
      </c>
      <c r="U23" s="330" cm="1">
        <f t="array" ref="U23">SUM(U24:U39)</f>
        <v>-516543.930362565</v>
      </c>
      <c r="V23" s="330" cm="1">
        <f t="array" ref="V23">SUM(V24:V39)</f>
        <v>-542488.645673407</v>
      </c>
      <c r="W23" s="330" cm="1">
        <f t="array" ref="W23">SUM(W24:W39)</f>
        <v>-563006.8336154789</v>
      </c>
      <c r="X23" s="333" cm="1">
        <f t="array" ref="X23">SUM(X24:X39)</f>
        <v>-599804.6036638611</v>
      </c>
    </row>
    <row r="24" ht="16" customHeight="1">
      <c r="A24" s="384"/>
      <c r="B24" t="s" s="334">
        <v>195</v>
      </c>
      <c r="C24" s="385">
        <v>-1623234.14</v>
      </c>
      <c r="D24" s="386">
        <v>-1943639.67429581</v>
      </c>
      <c r="E24" s="346"/>
      <c r="F24" s="387">
        <v>-138640.07</v>
      </c>
      <c r="G24" s="388">
        <v>-159466.975008557</v>
      </c>
      <c r="H24" s="335">
        <v>-137404.51</v>
      </c>
      <c r="I24" s="335">
        <v>-177947.560783495</v>
      </c>
      <c r="J24" s="335">
        <v>-151059.7</v>
      </c>
      <c r="K24" s="335">
        <v>-173863.342944814</v>
      </c>
      <c r="L24" s="389"/>
      <c r="M24" s="337" cm="1">
        <f t="array" ref="M24">F24</f>
        <v>-138640.07</v>
      </c>
      <c r="N24" s="337" cm="1">
        <f t="array" ref="N24">H24</f>
        <v>-137404.51</v>
      </c>
      <c r="O24" s="335" cm="1">
        <f t="array" ref="O24">J24</f>
        <v>-151059.7</v>
      </c>
      <c r="P24" s="335">
        <v>-171892.467701796</v>
      </c>
      <c r="Q24" s="335">
        <v>-172621.592458777</v>
      </c>
      <c r="R24" s="335">
        <v>-173350.717215759</v>
      </c>
      <c r="S24" s="335">
        <v>-174079.841972741</v>
      </c>
      <c r="T24" s="335">
        <v>-174808.966729723</v>
      </c>
      <c r="U24" s="335">
        <v>-175538.091486704</v>
      </c>
      <c r="V24" s="335">
        <v>-178967.216243686</v>
      </c>
      <c r="W24" s="335">
        <v>-179696.341000668</v>
      </c>
      <c r="X24" s="338">
        <v>-188525.46575765</v>
      </c>
    </row>
    <row r="25" ht="16" customHeight="1">
      <c r="A25" s="384"/>
      <c r="B25" t="s" s="334">
        <v>196</v>
      </c>
      <c r="C25" s="385">
        <v>-175409.34</v>
      </c>
      <c r="D25" s="386">
        <v>-233483.68</v>
      </c>
      <c r="E25" s="346"/>
      <c r="F25" s="387">
        <v>-13483.68</v>
      </c>
      <c r="G25" s="388">
        <v>-20000</v>
      </c>
      <c r="H25" s="335">
        <v>0</v>
      </c>
      <c r="I25" s="335">
        <v>-20000</v>
      </c>
      <c r="J25" s="390">
        <v>0</v>
      </c>
      <c r="K25" s="335">
        <v>-20000</v>
      </c>
      <c r="L25" s="389"/>
      <c r="M25" s="337" cm="1">
        <f t="array" ref="M25">F25</f>
        <v>-13483.68</v>
      </c>
      <c r="N25" s="337" cm="1">
        <f t="array" ref="N25">H25</f>
        <v>0</v>
      </c>
      <c r="O25" s="335" cm="1">
        <f t="array" ref="O25">J25</f>
        <v>0</v>
      </c>
      <c r="P25" s="335">
        <v>-20000</v>
      </c>
      <c r="Q25" s="335">
        <v>-20000</v>
      </c>
      <c r="R25" s="335">
        <v>-20000</v>
      </c>
      <c r="S25" s="335">
        <v>-20000</v>
      </c>
      <c r="T25" s="335">
        <v>-20000</v>
      </c>
      <c r="U25" s="335">
        <v>-20000</v>
      </c>
      <c r="V25" s="335">
        <v>-20000</v>
      </c>
      <c r="W25" s="335">
        <v>-20000</v>
      </c>
      <c r="X25" s="338">
        <v>-20000</v>
      </c>
    </row>
    <row r="26" ht="16" customHeight="1">
      <c r="A26" s="384"/>
      <c r="B26" t="s" s="334">
        <v>197</v>
      </c>
      <c r="C26" s="385">
        <v>-734395.88</v>
      </c>
      <c r="D26" s="386">
        <v>-1051310.56995788</v>
      </c>
      <c r="E26" s="346"/>
      <c r="F26" s="387">
        <v>-227273.22</v>
      </c>
      <c r="G26" s="388">
        <v>-61962.375</v>
      </c>
      <c r="H26" s="335">
        <v>-124981.23</v>
      </c>
      <c r="I26" s="335">
        <v>-48938.885355375</v>
      </c>
      <c r="J26" s="390">
        <v>-361486.58</v>
      </c>
      <c r="K26" s="335">
        <v>-67501.910835</v>
      </c>
      <c r="L26" s="389"/>
      <c r="M26" s="337" cm="1">
        <f t="array" ref="M26">F26</f>
        <v>-227273.22</v>
      </c>
      <c r="N26" s="337" cm="1">
        <f t="array" ref="N26">H26</f>
        <v>-124981.23</v>
      </c>
      <c r="O26" s="335" cm="1">
        <f t="array" ref="O26">J26</f>
        <v>-361486.58</v>
      </c>
      <c r="P26" s="335">
        <v>-69751.9745295</v>
      </c>
      <c r="Q26" s="335">
        <v>-72002.038224</v>
      </c>
      <c r="R26" s="335">
        <v>-74252.1019185</v>
      </c>
      <c r="S26" s="335">
        <v>-76502.165613</v>
      </c>
      <c r="T26" s="335">
        <v>-78752.229307500005</v>
      </c>
      <c r="U26" s="335">
        <v>-81002.293002000006</v>
      </c>
      <c r="V26" s="335">
        <v>-83252.356696500006</v>
      </c>
      <c r="W26" s="335">
        <v>-85502.420391000007</v>
      </c>
      <c r="X26" s="338">
        <v>-87752.484085499993</v>
      </c>
    </row>
    <row r="27" ht="16" customHeight="1">
      <c r="A27" s="384"/>
      <c r="B27" t="s" s="334">
        <v>198</v>
      </c>
      <c r="C27" s="385">
        <v>-53342.62</v>
      </c>
      <c r="D27" s="391">
        <v>-258470.644576313</v>
      </c>
      <c r="E27" s="328"/>
      <c r="F27" s="387">
        <v>-4613.22</v>
      </c>
      <c r="G27" s="388">
        <v>-16922.5702</v>
      </c>
      <c r="H27" s="335">
        <v>-156.46</v>
      </c>
      <c r="I27" s="335">
        <v>-14466.8871425625</v>
      </c>
      <c r="J27" s="390">
        <v>-2203.68</v>
      </c>
      <c r="K27" s="335">
        <v>-18577.8184725</v>
      </c>
      <c r="L27" s="389"/>
      <c r="M27" s="337" cm="1">
        <f t="array" ref="M27">F27</f>
        <v>-4613.22</v>
      </c>
      <c r="N27" s="337" cm="1">
        <f t="array" ref="N27">H27</f>
        <v>-156.46</v>
      </c>
      <c r="O27" s="335" cm="1">
        <f t="array" ref="O27">J27</f>
        <v>-2203.68</v>
      </c>
      <c r="P27" s="335">
        <v>-19265.20408825</v>
      </c>
      <c r="Q27" s="335">
        <v>-20492.589704</v>
      </c>
      <c r="R27" s="335">
        <v>-21719.97531975</v>
      </c>
      <c r="S27" s="335">
        <v>-22947.3609355</v>
      </c>
      <c r="T27" s="335">
        <v>-24174.74655125</v>
      </c>
      <c r="U27" s="335">
        <v>-25402.132167</v>
      </c>
      <c r="V27" s="335">
        <v>-27169.51778275</v>
      </c>
      <c r="W27" s="335">
        <v>-28396.9033985</v>
      </c>
      <c r="X27" s="338">
        <v>-31244.28901425</v>
      </c>
    </row>
    <row r="28" ht="16" customHeight="1">
      <c r="A28" s="384"/>
      <c r="B28" t="s" s="334">
        <v>199</v>
      </c>
      <c r="C28" s="385">
        <v>-251027.87</v>
      </c>
      <c r="D28" s="388">
        <v>-454179.480271258</v>
      </c>
      <c r="E28" s="302"/>
      <c r="F28" s="387">
        <v>-48965.42</v>
      </c>
      <c r="G28" s="388">
        <v>-29106.820744</v>
      </c>
      <c r="H28" s="335">
        <v>-37448.66</v>
      </c>
      <c r="I28" s="335">
        <v>-24883.0458852075</v>
      </c>
      <c r="J28" s="390">
        <v>-14400.94</v>
      </c>
      <c r="K28" s="335">
        <v>-31953.8477727</v>
      </c>
      <c r="L28" s="389"/>
      <c r="M28" s="337" cm="1">
        <f t="array" ref="M28">F28</f>
        <v>-48965.42</v>
      </c>
      <c r="N28" s="337" cm="1">
        <f t="array" ref="N28">H28</f>
        <v>-37448.66</v>
      </c>
      <c r="O28" s="335" cm="1">
        <f t="array" ref="O28">J28</f>
        <v>-14400.94</v>
      </c>
      <c r="P28" s="335">
        <v>-33136.15103179</v>
      </c>
      <c r="Q28" s="335">
        <v>-35247.25429088</v>
      </c>
      <c r="R28" s="335">
        <v>-37358.35754997</v>
      </c>
      <c r="S28" s="335">
        <v>-39469.46080906</v>
      </c>
      <c r="T28" s="335">
        <v>-41580.56406815</v>
      </c>
      <c r="U28" s="335">
        <v>-43691.66732724</v>
      </c>
      <c r="V28" s="335">
        <v>-46731.57058633</v>
      </c>
      <c r="W28" s="335">
        <v>-48842.67384542</v>
      </c>
      <c r="X28" s="338">
        <v>-53740.17710451</v>
      </c>
    </row>
    <row r="29" ht="16" customHeight="1">
      <c r="A29" s="384"/>
      <c r="B29" t="s" s="334">
        <v>200</v>
      </c>
      <c r="C29" s="385">
        <v>-270874.06</v>
      </c>
      <c r="D29" s="388">
        <v>-837630.845223375</v>
      </c>
      <c r="E29" s="302"/>
      <c r="F29" s="387">
        <v>-15317.94</v>
      </c>
      <c r="G29" s="388">
        <v>-9009.141053098099</v>
      </c>
      <c r="H29" s="335">
        <v>-11598.87</v>
      </c>
      <c r="I29" s="335">
        <v>-10058.736515776</v>
      </c>
      <c r="J29" s="390">
        <v>0</v>
      </c>
      <c r="K29" s="335">
        <v>-31461.591581391</v>
      </c>
      <c r="L29" s="389"/>
      <c r="M29" s="337" cm="1">
        <f t="array" ref="M29">F29</f>
        <v>-15317.94</v>
      </c>
      <c r="N29" s="337" cm="1">
        <f t="array" ref="N29">H29</f>
        <v>-11598.87</v>
      </c>
      <c r="O29" s="335" cm="1">
        <f t="array" ref="O29">J29</f>
        <v>0</v>
      </c>
      <c r="P29" s="335">
        <v>-42190.7392126208</v>
      </c>
      <c r="Q29" s="335">
        <v>-53637.6142126208</v>
      </c>
      <c r="R29" s="335">
        <v>-65084.4892126208</v>
      </c>
      <c r="S29" s="335">
        <v>-76531.3642126208</v>
      </c>
      <c r="T29" s="335">
        <v>-87978.2392126208</v>
      </c>
      <c r="U29" s="335">
        <v>-99425.1142126208</v>
      </c>
      <c r="V29" s="335">
        <v>-111589.716581391</v>
      </c>
      <c r="W29" s="335">
        <v>-123036.591581391</v>
      </c>
      <c r="X29" s="338">
        <v>-136636.648687701</v>
      </c>
    </row>
    <row r="30" ht="16" customHeight="1">
      <c r="A30" s="384"/>
      <c r="B30" t="s" s="334">
        <v>201</v>
      </c>
      <c r="C30" s="385">
        <v>-110804.24</v>
      </c>
      <c r="D30" s="388">
        <v>-374196.332076313</v>
      </c>
      <c r="E30" s="302"/>
      <c r="F30" s="387">
        <v>-15784.22</v>
      </c>
      <c r="G30" s="388">
        <v>-17370.2998</v>
      </c>
      <c r="H30" s="335">
        <v>-17749.93</v>
      </c>
      <c r="I30" s="335">
        <v>-15090.3246425625</v>
      </c>
      <c r="J30" s="390">
        <v>-39286.13</v>
      </c>
      <c r="K30" s="335">
        <v>-22102.8184725</v>
      </c>
      <c r="L30" s="389"/>
      <c r="M30" s="337" cm="1">
        <f t="array" ref="M30">F30</f>
        <v>-15784.22</v>
      </c>
      <c r="N30" s="337" cm="1">
        <f t="array" ref="N30">H30</f>
        <v>-17749.93</v>
      </c>
      <c r="O30" s="335" cm="1">
        <f t="array" ref="O30">J30</f>
        <v>-39286.13</v>
      </c>
      <c r="P30" s="335">
        <v>-24316.45408825</v>
      </c>
      <c r="Q30" s="335">
        <v>-27070.089704</v>
      </c>
      <c r="R30" s="335">
        <v>-29823.72531975</v>
      </c>
      <c r="S30" s="335">
        <v>-32577.3609355</v>
      </c>
      <c r="T30" s="335">
        <v>-35330.99655125</v>
      </c>
      <c r="U30" s="335">
        <v>-38084.632167</v>
      </c>
      <c r="V30" s="335">
        <v>-41378.26778275</v>
      </c>
      <c r="W30" s="335">
        <v>-44131.9033985</v>
      </c>
      <c r="X30" s="338">
        <v>-48505.53901425</v>
      </c>
    </row>
    <row r="31" ht="16" customHeight="1">
      <c r="A31" s="384"/>
      <c r="B31" t="s" s="334">
        <v>202</v>
      </c>
      <c r="C31" s="385">
        <v>-15152.92</v>
      </c>
      <c r="D31" s="388">
        <v>-26353.98</v>
      </c>
      <c r="E31" s="302"/>
      <c r="F31" s="387">
        <v>-4353.98</v>
      </c>
      <c r="G31" s="388">
        <v>-2000</v>
      </c>
      <c r="H31" s="335">
        <v>-1384.35</v>
      </c>
      <c r="I31" s="335">
        <v>-2000</v>
      </c>
      <c r="J31" s="390">
        <v>-180.61</v>
      </c>
      <c r="K31" s="335">
        <v>-2000</v>
      </c>
      <c r="L31" s="389"/>
      <c r="M31" s="337" cm="1">
        <f t="array" ref="M31">F31</f>
        <v>-4353.98</v>
      </c>
      <c r="N31" s="337" cm="1">
        <f t="array" ref="N31">H31</f>
        <v>-1384.35</v>
      </c>
      <c r="O31" s="335" cm="1">
        <f t="array" ref="O31">J31</f>
        <v>-180.61</v>
      </c>
      <c r="P31" s="335">
        <v>-2000</v>
      </c>
      <c r="Q31" s="335">
        <v>-2000</v>
      </c>
      <c r="R31" s="335">
        <v>-2000</v>
      </c>
      <c r="S31" s="335">
        <v>-2000</v>
      </c>
      <c r="T31" s="335">
        <v>-2000</v>
      </c>
      <c r="U31" s="335">
        <v>-2000</v>
      </c>
      <c r="V31" s="335">
        <v>-2000</v>
      </c>
      <c r="W31" s="335">
        <v>-2000</v>
      </c>
      <c r="X31" s="338">
        <v>-2000</v>
      </c>
    </row>
    <row r="32" ht="16" customHeight="1">
      <c r="A32" s="384"/>
      <c r="B32" t="s" s="334">
        <v>203</v>
      </c>
      <c r="C32" s="385">
        <v>-26523.3</v>
      </c>
      <c r="D32" s="388">
        <v>-62010.42</v>
      </c>
      <c r="E32" s="302"/>
      <c r="F32" s="387">
        <v>-18010.42</v>
      </c>
      <c r="G32" s="388">
        <v>-3500</v>
      </c>
      <c r="H32" s="335">
        <v>-5625.31</v>
      </c>
      <c r="I32" s="335">
        <v>-4000</v>
      </c>
      <c r="J32" s="390">
        <v>-6298.03</v>
      </c>
      <c r="K32" s="335">
        <v>-4000</v>
      </c>
      <c r="L32" s="389"/>
      <c r="M32" s="337" cm="1">
        <f t="array" ref="M32">F32</f>
        <v>-18010.42</v>
      </c>
      <c r="N32" s="337" cm="1">
        <f t="array" ref="N32">H32</f>
        <v>-5625.31</v>
      </c>
      <c r="O32" s="335" cm="1">
        <f t="array" ref="O32">J32</f>
        <v>-6298.03</v>
      </c>
      <c r="P32" s="335">
        <v>-4000</v>
      </c>
      <c r="Q32" s="335">
        <v>-4000</v>
      </c>
      <c r="R32" s="335">
        <v>-4000</v>
      </c>
      <c r="S32" s="335">
        <v>-4000</v>
      </c>
      <c r="T32" s="335">
        <v>-4000</v>
      </c>
      <c r="U32" s="335">
        <v>-4000</v>
      </c>
      <c r="V32" s="335">
        <v>-4000</v>
      </c>
      <c r="W32" s="335">
        <v>-4000</v>
      </c>
      <c r="X32" s="338">
        <v>-4000</v>
      </c>
    </row>
    <row r="33" ht="16" customHeight="1">
      <c r="A33" s="384"/>
      <c r="B33" t="s" s="334">
        <v>204</v>
      </c>
      <c r="C33" s="385">
        <v>-89827.13</v>
      </c>
      <c r="D33" s="388">
        <v>-121999.45</v>
      </c>
      <c r="E33" s="302"/>
      <c r="F33" s="387">
        <v>-33999.45</v>
      </c>
      <c r="G33" s="388">
        <v>-8000</v>
      </c>
      <c r="H33" s="335">
        <v>-11822.54</v>
      </c>
      <c r="I33" s="335">
        <v>-8000</v>
      </c>
      <c r="J33" s="390">
        <v>-17958.73</v>
      </c>
      <c r="K33" s="335">
        <v>-8000</v>
      </c>
      <c r="L33" s="389"/>
      <c r="M33" s="337" cm="1">
        <f t="array" ref="M33">F33</f>
        <v>-33999.45</v>
      </c>
      <c r="N33" s="337" cm="1">
        <f t="array" ref="N33">H33</f>
        <v>-11822.54</v>
      </c>
      <c r="O33" s="335" cm="1">
        <f t="array" ref="O33">J33</f>
        <v>-17958.73</v>
      </c>
      <c r="P33" s="335">
        <v>-8000</v>
      </c>
      <c r="Q33" s="335">
        <v>-8000</v>
      </c>
      <c r="R33" s="335">
        <v>-8000</v>
      </c>
      <c r="S33" s="335">
        <v>-8000</v>
      </c>
      <c r="T33" s="335">
        <v>-8000</v>
      </c>
      <c r="U33" s="335">
        <v>-8000</v>
      </c>
      <c r="V33" s="335">
        <v>-8000</v>
      </c>
      <c r="W33" s="335">
        <v>-8000</v>
      </c>
      <c r="X33" s="338">
        <v>-8000</v>
      </c>
    </row>
    <row r="34" ht="16" customHeight="1">
      <c r="A34" s="384"/>
      <c r="B34" t="s" s="334">
        <v>205</v>
      </c>
      <c r="C34" s="385">
        <v>-92986.850000000006</v>
      </c>
      <c r="D34" s="388">
        <v>-90127.02</v>
      </c>
      <c r="E34" s="302"/>
      <c r="F34" s="387">
        <v>-27942.26</v>
      </c>
      <c r="G34" s="388">
        <v>-4500</v>
      </c>
      <c r="H34" s="335">
        <v>-11779.6</v>
      </c>
      <c r="I34" s="335">
        <v>-5000</v>
      </c>
      <c r="J34" s="390">
        <v>-59306.36</v>
      </c>
      <c r="K34" s="335">
        <v>-5000</v>
      </c>
      <c r="L34" s="389"/>
      <c r="M34" s="337" cm="1">
        <f t="array" ref="M34">F34</f>
        <v>-27942.26</v>
      </c>
      <c r="N34" s="337" cm="1">
        <f t="array" ref="N34">H34</f>
        <v>-11779.6</v>
      </c>
      <c r="O34" s="335" cm="1">
        <f t="array" ref="O34">J34</f>
        <v>-59306.36</v>
      </c>
      <c r="P34" s="335">
        <v>-5000</v>
      </c>
      <c r="Q34" s="335">
        <v>-5000</v>
      </c>
      <c r="R34" s="335">
        <v>-5000</v>
      </c>
      <c r="S34" s="335">
        <v>-5000</v>
      </c>
      <c r="T34" s="335">
        <v>-5000</v>
      </c>
      <c r="U34" s="335">
        <v>-5000</v>
      </c>
      <c r="V34" s="335">
        <v>-5000</v>
      </c>
      <c r="W34" s="335">
        <v>-5000</v>
      </c>
      <c r="X34" s="338">
        <v>-5000</v>
      </c>
    </row>
    <row r="35" ht="16" customHeight="1">
      <c r="A35" s="384"/>
      <c r="B35" t="s" s="334">
        <v>206</v>
      </c>
      <c r="C35" s="385">
        <v>-64203.72</v>
      </c>
      <c r="D35" s="388">
        <v>-68931.679999999993</v>
      </c>
      <c r="E35" s="302"/>
      <c r="F35" s="387">
        <v>-8431.68</v>
      </c>
      <c r="G35" s="388">
        <v>-5000</v>
      </c>
      <c r="H35" s="335">
        <v>-5431.68</v>
      </c>
      <c r="I35" s="335">
        <v>-5500</v>
      </c>
      <c r="J35" s="390">
        <v>-5504.6</v>
      </c>
      <c r="K35" s="335">
        <v>-5500</v>
      </c>
      <c r="L35" s="389"/>
      <c r="M35" s="337" cm="1">
        <f t="array" ref="M35">F35</f>
        <v>-8431.68</v>
      </c>
      <c r="N35" s="337" cm="1">
        <f t="array" ref="N35">H35</f>
        <v>-5431.68</v>
      </c>
      <c r="O35" s="335" cm="1">
        <f t="array" ref="O35">J35</f>
        <v>-5504.6</v>
      </c>
      <c r="P35" s="335">
        <v>-5500</v>
      </c>
      <c r="Q35" s="335">
        <v>-5500</v>
      </c>
      <c r="R35" s="335">
        <v>-5500</v>
      </c>
      <c r="S35" s="335">
        <v>-5500</v>
      </c>
      <c r="T35" s="335">
        <v>-5500</v>
      </c>
      <c r="U35" s="335">
        <v>-5500</v>
      </c>
      <c r="V35" s="335">
        <v>-5500</v>
      </c>
      <c r="W35" s="335">
        <v>-5500</v>
      </c>
      <c r="X35" s="338">
        <v>-5500</v>
      </c>
    </row>
    <row r="36" ht="16" customHeight="1">
      <c r="A36" s="384"/>
      <c r="B36" t="s" s="334">
        <v>207</v>
      </c>
      <c r="C36" s="385">
        <v>-2700</v>
      </c>
      <c r="D36" s="388">
        <v>-38500</v>
      </c>
      <c r="E36" s="302"/>
      <c r="F36" s="387">
        <v>0</v>
      </c>
      <c r="G36" s="388">
        <v>-3000</v>
      </c>
      <c r="H36" s="335">
        <v>0</v>
      </c>
      <c r="I36" s="335">
        <v>-3500</v>
      </c>
      <c r="J36" s="390">
        <v>0</v>
      </c>
      <c r="K36" s="335">
        <v>-3500</v>
      </c>
      <c r="L36" s="389"/>
      <c r="M36" s="337" cm="1">
        <f t="array" ref="M36">F36</f>
        <v>0</v>
      </c>
      <c r="N36" s="337" cm="1">
        <f t="array" ref="N36">H36</f>
        <v>0</v>
      </c>
      <c r="O36" s="335" cm="1">
        <f t="array" ref="O36">J36</f>
        <v>0</v>
      </c>
      <c r="P36" s="335">
        <v>-3500</v>
      </c>
      <c r="Q36" s="335">
        <v>-3500</v>
      </c>
      <c r="R36" s="335">
        <v>-3500</v>
      </c>
      <c r="S36" s="335">
        <v>-3500</v>
      </c>
      <c r="T36" s="335">
        <v>-3500</v>
      </c>
      <c r="U36" s="335">
        <v>-3500</v>
      </c>
      <c r="V36" s="335">
        <v>-3500</v>
      </c>
      <c r="W36" s="335">
        <v>-3500</v>
      </c>
      <c r="X36" s="338">
        <v>-3500</v>
      </c>
    </row>
    <row r="37" ht="16" customHeight="1">
      <c r="A37" s="384"/>
      <c r="B37" t="s" s="334">
        <v>208</v>
      </c>
      <c r="C37" s="385">
        <v>-4151.51</v>
      </c>
      <c r="D37" s="388">
        <v>-23673.73</v>
      </c>
      <c r="E37" s="302"/>
      <c r="F37" s="387">
        <v>-1673.73</v>
      </c>
      <c r="G37" s="388">
        <v>-2000</v>
      </c>
      <c r="H37" s="335">
        <v>0</v>
      </c>
      <c r="I37" s="335">
        <v>-2000</v>
      </c>
      <c r="J37" s="390">
        <v>-287.16</v>
      </c>
      <c r="K37" s="335">
        <v>-2000</v>
      </c>
      <c r="L37" s="389"/>
      <c r="M37" s="337" cm="1">
        <f t="array" ref="M37">F37</f>
        <v>-1673.73</v>
      </c>
      <c r="N37" s="337" cm="1">
        <f t="array" ref="N37">H37</f>
        <v>0</v>
      </c>
      <c r="O37" s="335" cm="1">
        <f t="array" ref="O37">J37</f>
        <v>-287.16</v>
      </c>
      <c r="P37" s="335">
        <v>-2000</v>
      </c>
      <c r="Q37" s="335">
        <v>-2000</v>
      </c>
      <c r="R37" s="335">
        <v>-2000</v>
      </c>
      <c r="S37" s="335">
        <v>-2000</v>
      </c>
      <c r="T37" s="335">
        <v>-2000</v>
      </c>
      <c r="U37" s="335">
        <v>-2000</v>
      </c>
      <c r="V37" s="335">
        <v>-2000</v>
      </c>
      <c r="W37" s="335">
        <v>-2000</v>
      </c>
      <c r="X37" s="338">
        <v>-2000</v>
      </c>
    </row>
    <row r="38" ht="15.75" customHeight="1">
      <c r="A38" s="384"/>
      <c r="B38" t="s" s="334">
        <v>209</v>
      </c>
      <c r="C38" s="385">
        <v>-15769.06</v>
      </c>
      <c r="D38" s="388">
        <v>-39890.9</v>
      </c>
      <c r="E38" s="302"/>
      <c r="F38" s="387">
        <v>-2490.9</v>
      </c>
      <c r="G38" s="388">
        <v>-3400</v>
      </c>
      <c r="H38" s="335">
        <v>-1545.85</v>
      </c>
      <c r="I38" s="340">
        <v>-3400</v>
      </c>
      <c r="J38" s="390">
        <v>-1251.68</v>
      </c>
      <c r="K38" s="335">
        <v>-3400</v>
      </c>
      <c r="L38" s="389"/>
      <c r="M38" s="341" cm="1">
        <f t="array" ref="M38">F38</f>
        <v>-2490.9</v>
      </c>
      <c r="N38" s="341" cm="1">
        <f t="array" ref="N38">H38</f>
        <v>-1545.85</v>
      </c>
      <c r="O38" s="340" cm="1">
        <f t="array" ref="O38">J38</f>
        <v>-1251.68</v>
      </c>
      <c r="P38" s="340">
        <v>-3400</v>
      </c>
      <c r="Q38" s="340">
        <v>-3400</v>
      </c>
      <c r="R38" s="340">
        <v>-3400</v>
      </c>
      <c r="S38" s="340">
        <v>-3400</v>
      </c>
      <c r="T38" s="340">
        <v>-3400</v>
      </c>
      <c r="U38" s="340">
        <v>-3400</v>
      </c>
      <c r="V38" s="340">
        <v>-3400</v>
      </c>
      <c r="W38" s="340">
        <v>-3400</v>
      </c>
      <c r="X38" s="342">
        <v>-3400</v>
      </c>
    </row>
    <row r="39" ht="16.5" customHeight="1">
      <c r="A39" s="384"/>
      <c r="B39" t="s" s="334">
        <v>210</v>
      </c>
      <c r="C39" s="385">
        <v>-132950.17</v>
      </c>
      <c r="D39" s="388">
        <v>0</v>
      </c>
      <c r="E39" s="302"/>
      <c r="F39" s="387">
        <v>-4613.22</v>
      </c>
      <c r="G39" s="388">
        <v>0</v>
      </c>
      <c r="H39" s="335">
        <v>-15879.96</v>
      </c>
      <c r="I39" s="392">
        <v>0</v>
      </c>
      <c r="J39" s="390">
        <v>-177575.74</v>
      </c>
      <c r="K39" s="335">
        <v>0</v>
      </c>
      <c r="L39" s="389"/>
      <c r="M39" s="393" cm="1">
        <f t="array" ref="M39">F39</f>
        <v>-4613.22</v>
      </c>
      <c r="N39" s="394" cm="1">
        <f t="array" ref="N39">H39</f>
        <v>-15879.96</v>
      </c>
      <c r="O39" s="395" cm="1">
        <f t="array" ref="O39">J39</f>
        <v>-177575.74</v>
      </c>
      <c r="P39" s="395">
        <v>0</v>
      </c>
      <c r="Q39" s="395">
        <v>0</v>
      </c>
      <c r="R39" s="395">
        <v>0</v>
      </c>
      <c r="S39" s="395">
        <v>0</v>
      </c>
      <c r="T39" s="395">
        <v>0</v>
      </c>
      <c r="U39" s="395">
        <v>0</v>
      </c>
      <c r="V39" s="395">
        <v>0</v>
      </c>
      <c r="W39" s="395">
        <v>0</v>
      </c>
      <c r="X39" s="395">
        <v>0</v>
      </c>
    </row>
    <row r="40" ht="16" customHeight="1">
      <c r="A40" s="384"/>
      <c r="B40" t="s" s="396">
        <v>211</v>
      </c>
      <c r="C40" s="397">
        <v>-348485.52</v>
      </c>
      <c r="D40" s="398">
        <v>-348485.52</v>
      </c>
      <c r="E40" s="302"/>
      <c r="F40" s="399">
        <v>-29040.46</v>
      </c>
      <c r="G40" s="400">
        <v>-31666.6666666667</v>
      </c>
      <c r="H40" s="400">
        <v>-29040.46</v>
      </c>
      <c r="I40" s="398">
        <v>-29040.46</v>
      </c>
      <c r="J40" s="401">
        <v>-29040.46</v>
      </c>
      <c r="K40" s="401">
        <v>-29040.46</v>
      </c>
      <c r="L40" s="389"/>
      <c r="M40" s="402" cm="1">
        <f t="array" ref="M40">F40</f>
        <v>-29040.46</v>
      </c>
      <c r="N40" s="403" cm="1">
        <f t="array" ref="N40">H40</f>
        <v>-29040.46</v>
      </c>
      <c r="O40" s="400" cm="1">
        <f t="array" ref="O40">J40</f>
        <v>-29040.46</v>
      </c>
      <c r="P40" s="400">
        <v>-29040.46</v>
      </c>
      <c r="Q40" s="400">
        <v>-29040.46</v>
      </c>
      <c r="R40" s="400">
        <v>-29040.46</v>
      </c>
      <c r="S40" s="400">
        <v>-29040.46</v>
      </c>
      <c r="T40" s="400">
        <v>-29040.46</v>
      </c>
      <c r="U40" s="400">
        <v>-29040.46</v>
      </c>
      <c r="V40" s="400">
        <v>-29040.46</v>
      </c>
      <c r="W40" s="400">
        <v>-29040.46</v>
      </c>
      <c r="X40" s="400">
        <v>-29040.46</v>
      </c>
    </row>
    <row r="41" ht="15.75" customHeight="1">
      <c r="A41" s="301"/>
      <c r="B41" t="s" s="352">
        <v>212</v>
      </c>
      <c r="C41" s="356" cm="1">
        <f t="array" ref="C41">C21+C20+C40</f>
        <v>-457126.1230967</v>
      </c>
      <c r="D41" s="356" cm="1">
        <f t="array" ref="D41">D21+D20+D40</f>
        <v>5752422.3148374</v>
      </c>
      <c r="E41" s="302"/>
      <c r="F41" s="356" cm="1">
        <f t="array" ref="F41">F21+F20</f>
        <v>-234782.35</v>
      </c>
      <c r="G41" s="356" cm="1">
        <f t="array" ref="G41">G21+G20</f>
        <v>84802.868402345</v>
      </c>
      <c r="H41" s="356" cm="1">
        <f t="array" ref="H41">H21+H20</f>
        <v>-191421.25</v>
      </c>
      <c r="I41" s="356" cm="1">
        <f t="array" ref="I41">I21+I20</f>
        <v>27746.158965761</v>
      </c>
      <c r="J41" s="356" cm="1">
        <f t="array" ref="J41">J21+J20</f>
        <v>-578726.420180699</v>
      </c>
      <c r="K41" s="356" cm="1">
        <f t="array" ref="K41">K21+K20</f>
        <v>304431.339975555</v>
      </c>
      <c r="L41" s="332"/>
      <c r="M41" s="404" cm="1">
        <f t="array" ref="M41">F41</f>
        <v>-234782.35</v>
      </c>
      <c r="N41" s="404" cm="1">
        <f t="array" ref="N41">H41</f>
        <v>-191421.25</v>
      </c>
      <c r="O41" s="356" cm="1">
        <f t="array" ref="O41">J41</f>
        <v>-578726.420180699</v>
      </c>
      <c r="P41" s="356" cm="1">
        <f t="array" ref="P41">P21+P20</f>
        <v>271559.699182353</v>
      </c>
      <c r="Q41" s="356" cm="1">
        <f t="array" ref="Q41">Q21+Q20</f>
        <v>331142.12677971</v>
      </c>
      <c r="R41" s="356" cm="1">
        <f t="array" ref="R41">R21+R20</f>
        <v>387823.04562841</v>
      </c>
      <c r="S41" s="356" cm="1">
        <f t="array" ref="S41">S21+S20</f>
        <v>444503.96447711</v>
      </c>
      <c r="T41" s="356" cm="1">
        <f t="array" ref="T41">T21+T20</f>
        <v>501184.88332582</v>
      </c>
      <c r="U41" s="356" cm="1">
        <f t="array" ref="U41">U21+U20</f>
        <v>557865.80217451</v>
      </c>
      <c r="V41" s="356" cm="1">
        <f t="array" ref="V41">V21+V20</f>
        <v>650160.19365444</v>
      </c>
      <c r="W41" s="356" cm="1">
        <f t="array" ref="W41">W21+W20</f>
        <v>700689.60375449</v>
      </c>
      <c r="X41" s="405" cm="1">
        <f t="array" ref="X41">X21+X20</f>
        <v>864210.94049688</v>
      </c>
    </row>
    <row r="42" ht="16.5" customHeight="1">
      <c r="A42" s="301"/>
      <c r="B42" t="s" s="406">
        <v>213</v>
      </c>
      <c r="C42" s="407" cm="1">
        <f t="array" ref="C42">C41/C17</f>
        <v>-0.0374737869885254</v>
      </c>
      <c r="D42" s="408" cm="1">
        <f t="array" ref="D42">D41/D17</f>
        <v>0.237712000312648</v>
      </c>
      <c r="E42" s="302"/>
      <c r="F42" s="409" cm="1">
        <f t="array" ref="F42">F41/F17</f>
        <v>-0.162296123325127</v>
      </c>
      <c r="G42" s="410" cm="1">
        <f t="array" ref="G42">G41/G17</f>
        <v>0.0586210027651207</v>
      </c>
      <c r="H42" s="410" cm="1">
        <f t="array" ref="H42">H41/H17</f>
        <v>-0.17710074229725</v>
      </c>
      <c r="I42" s="411" cm="1">
        <f t="array" ref="I42">I41/I17</f>
        <v>0.022136194617979</v>
      </c>
      <c r="J42" s="412" cm="1">
        <f t="array" ref="J42">J41/J17</f>
        <v>-0.466300344062456</v>
      </c>
      <c r="K42" s="412" cm="1">
        <f t="array" ref="K42">K41/K17</f>
        <v>0.179819845292425</v>
      </c>
      <c r="L42" s="332"/>
      <c r="M42" s="413" cm="1">
        <f t="array" ref="M42">F42</f>
        <v>-0.162296123325127</v>
      </c>
      <c r="N42" s="414" cm="1">
        <f t="array" ref="N42">H42</f>
        <v>-0.17710074229725</v>
      </c>
      <c r="O42" s="410" cm="1">
        <f t="array" ref="O42">J42</f>
        <v>-0.466300344062456</v>
      </c>
      <c r="P42" s="410" cm="1">
        <f t="array" ref="P42">P41/P17</f>
        <v>0.158354208586938</v>
      </c>
      <c r="Q42" s="410" cm="1">
        <f t="array" ref="Q42">Q41/Q17</f>
        <v>0.180972168150824</v>
      </c>
      <c r="R42" s="410" cm="1">
        <f t="array" ref="R42">R41/R17</f>
        <v>0.20005806179936</v>
      </c>
      <c r="S42" s="410" cm="1">
        <f t="array" ref="S42">S41/S17</f>
        <v>0.217116204503022</v>
      </c>
      <c r="T42" s="410" cm="1">
        <f t="array" ref="T42">T41/T17</f>
        <v>0.232453448584572</v>
      </c>
      <c r="U42" s="410" cm="1">
        <f t="array" ref="U42">U41/U17</f>
        <v>0.246317706273806</v>
      </c>
      <c r="V42" s="410" cm="1">
        <f t="array" ref="V42">V41/V17</f>
        <v>0.267822493971846</v>
      </c>
      <c r="W42" s="410" cm="1">
        <f t="array" ref="W42">W41/W17</f>
        <v>0.276932292862347</v>
      </c>
      <c r="X42" s="410" cm="1">
        <f t="array" ref="X42">X41/X17</f>
        <v>0.308543139866245</v>
      </c>
    </row>
    <row r="43" ht="16" customHeight="1">
      <c r="A43" s="301"/>
      <c r="B43" t="s" s="379">
        <v>214</v>
      </c>
      <c r="C43" s="415" cm="1">
        <f t="array" ref="C43">SUM(C44:C45)</f>
        <v>-256083.08</v>
      </c>
      <c r="D43" s="416" cm="1">
        <f t="array" ref="D43">SUM(D44:D45)</f>
        <v>-1633729.06316743</v>
      </c>
      <c r="E43" s="302"/>
      <c r="F43" s="417" cm="1">
        <f t="array" ref="F43">SUM(F44:F45)</f>
        <v>-16114.93</v>
      </c>
      <c r="G43" s="418" cm="1">
        <f t="array" ref="G43">SUM(G44:G45)</f>
        <v>-193943.873936192</v>
      </c>
      <c r="H43" s="416" cm="1">
        <f t="array" ref="H43">SUM(H44:H45)</f>
        <v>-23514.01</v>
      </c>
      <c r="I43" s="330" cm="1">
        <f t="array" ref="I43">SUM(I44:I45)</f>
        <v>-189599.305204644</v>
      </c>
      <c r="J43" s="330" cm="1">
        <f t="array" ref="J43">SUM(J44:J45)</f>
        <v>-251746.08</v>
      </c>
      <c r="K43" s="330" cm="1">
        <f t="array" ref="K43">SUM(K44:K45)</f>
        <v>-222366.90130561</v>
      </c>
      <c r="L43" s="332"/>
      <c r="M43" s="419" cm="1">
        <f t="array" ref="M43">F43</f>
        <v>-16114.93</v>
      </c>
      <c r="N43" s="420" cm="1">
        <f t="array" ref="N43">H43</f>
        <v>-23514.01</v>
      </c>
      <c r="O43" s="418" cm="1">
        <f t="array" ref="O43">J43</f>
        <v>-251746.08</v>
      </c>
      <c r="P43" s="418" cm="1">
        <f t="array" ref="P43">SUM(P44:P45)</f>
        <v>-222366.901305609</v>
      </c>
      <c r="Q43" s="418" cm="1">
        <f t="array" ref="Q43">SUM(Q44:Q45)</f>
        <v>-196054.914275077</v>
      </c>
      <c r="R43" s="418" cm="1">
        <f t="array" ref="R43">SUM(R44:R45)</f>
        <v>-195508.976320487</v>
      </c>
      <c r="S43" s="418" cm="1">
        <f t="array" ref="S43">SUM(S44:S45)</f>
        <v>-194963.038365897</v>
      </c>
      <c r="T43" s="418" cm="1">
        <f t="array" ref="T43">SUM(T44:T45)</f>
        <v>-194417.100411307</v>
      </c>
      <c r="U43" s="418" cm="1">
        <f t="array" ref="U43">SUM(U44:U45)</f>
        <v>-193871.162456717</v>
      </c>
      <c r="V43" s="418" cm="1">
        <f t="array" ref="V43">SUM(V44:V45)</f>
        <v>-193325.224502127</v>
      </c>
      <c r="W43" s="418" cm="1">
        <f t="array" ref="W43">SUM(W44:W45)</f>
        <v>-192779.286547537</v>
      </c>
      <c r="X43" s="418" cm="1">
        <f t="array" ref="X43">SUM(X44:X45)</f>
        <v>-192233.348592947</v>
      </c>
    </row>
    <row r="44" ht="16" customHeight="1">
      <c r="A44" s="301"/>
      <c r="B44" t="s" s="334">
        <v>215</v>
      </c>
      <c r="C44" s="385">
        <v>-256083.08</v>
      </c>
      <c r="D44" s="388">
        <v>-1633729.06316743</v>
      </c>
      <c r="E44" s="302"/>
      <c r="F44" s="421">
        <v>-16114.93</v>
      </c>
      <c r="G44" s="386">
        <v>-193943.873936192</v>
      </c>
      <c r="H44" s="422">
        <v>-23514.01</v>
      </c>
      <c r="I44" s="335">
        <v>-189599.305204644</v>
      </c>
      <c r="J44" s="335">
        <v>-251746.08</v>
      </c>
      <c r="K44" s="330">
        <v>-222366.90130561</v>
      </c>
      <c r="L44" s="332"/>
      <c r="M44" s="423" cm="1">
        <f t="array" ref="M44">F44</f>
        <v>-16114.93</v>
      </c>
      <c r="N44" s="424" cm="1">
        <f t="array" ref="N44">H44</f>
        <v>-23514.01</v>
      </c>
      <c r="O44" s="386" cm="1">
        <f t="array" ref="O44">J44</f>
        <v>-251746.08</v>
      </c>
      <c r="P44" s="386">
        <v>-222366.901305609</v>
      </c>
      <c r="Q44" s="386">
        <v>-196054.914275077</v>
      </c>
      <c r="R44" s="386">
        <v>-195508.976320487</v>
      </c>
      <c r="S44" s="386">
        <v>-194963.038365897</v>
      </c>
      <c r="T44" s="386">
        <v>-194417.100411307</v>
      </c>
      <c r="U44" s="386">
        <v>-193871.162456717</v>
      </c>
      <c r="V44" s="386">
        <v>-193325.224502127</v>
      </c>
      <c r="W44" s="386">
        <v>-192779.286547537</v>
      </c>
      <c r="X44" s="386">
        <v>-192233.348592947</v>
      </c>
    </row>
    <row r="45" ht="16" customHeight="1">
      <c r="A45" s="301"/>
      <c r="B45" t="s" s="425">
        <v>216</v>
      </c>
      <c r="C45" s="426">
        <v>0</v>
      </c>
      <c r="D45" s="427">
        <v>0</v>
      </c>
      <c r="E45" s="302"/>
      <c r="F45" s="428">
        <v>0</v>
      </c>
      <c r="G45" s="429">
        <v>0</v>
      </c>
      <c r="H45" s="427">
        <v>0</v>
      </c>
      <c r="I45" s="430">
        <v>0</v>
      </c>
      <c r="J45" s="430">
        <v>0</v>
      </c>
      <c r="K45" s="430">
        <v>0</v>
      </c>
      <c r="L45" s="332"/>
      <c r="M45" s="431" cm="1">
        <f t="array" ref="M45">F45</f>
        <v>0</v>
      </c>
      <c r="N45" s="432" cm="1">
        <f t="array" ref="N45">H45</f>
        <v>0</v>
      </c>
      <c r="O45" s="429" cm="1">
        <f t="array" ref="O45">J45</f>
        <v>0</v>
      </c>
      <c r="P45" s="429">
        <v>0</v>
      </c>
      <c r="Q45" s="429">
        <v>0</v>
      </c>
      <c r="R45" s="429">
        <v>0</v>
      </c>
      <c r="S45" s="429">
        <v>0</v>
      </c>
      <c r="T45" s="429">
        <v>0</v>
      </c>
      <c r="U45" s="429">
        <v>0</v>
      </c>
      <c r="V45" s="429">
        <v>0</v>
      </c>
      <c r="W45" s="429">
        <v>0</v>
      </c>
      <c r="X45" s="429">
        <v>0</v>
      </c>
    </row>
    <row r="46" ht="15.75" customHeight="1">
      <c r="A46" s="301"/>
      <c r="B46" t="s" s="352">
        <v>217</v>
      </c>
      <c r="C46" s="376" cm="1">
        <f t="array" ref="C46">C41+C40+C43</f>
        <v>-1061694.7230967</v>
      </c>
      <c r="D46" s="355" cm="1">
        <f t="array" ref="D46">D41+D40+D43</f>
        <v>3770207.73166997</v>
      </c>
      <c r="E46" s="302"/>
      <c r="F46" s="353" cm="1">
        <f t="array" ref="F46">F41+F40+F43</f>
        <v>-279937.74</v>
      </c>
      <c r="G46" s="354" cm="1">
        <f t="array" ref="G46">G41+G40+G43</f>
        <v>-140807.672200514</v>
      </c>
      <c r="H46" s="355" cm="1">
        <f t="array" ref="H46">H41+H40+H43</f>
        <v>-243975.72</v>
      </c>
      <c r="I46" s="356" cm="1">
        <f t="array" ref="I46">I41+I40+I43</f>
        <v>-190893.606238883</v>
      </c>
      <c r="J46" s="356" cm="1">
        <f t="array" ref="J46">J41+J40+J43</f>
        <v>-859512.960180699</v>
      </c>
      <c r="K46" s="356" cm="1">
        <f t="array" ref="K46">K41+K40+K43</f>
        <v>53023.978669945</v>
      </c>
      <c r="L46" s="332"/>
      <c r="M46" s="357" cm="1">
        <f t="array" ref="M46">F46</f>
        <v>-279937.74</v>
      </c>
      <c r="N46" s="358" cm="1">
        <f t="array" ref="N46">H46</f>
        <v>-243975.72</v>
      </c>
      <c r="O46" s="354" cm="1">
        <f t="array" ref="O46">J46</f>
        <v>-859512.960180699</v>
      </c>
      <c r="P46" s="354" cm="1">
        <f t="array" ref="P46">P41+P40+P43</f>
        <v>20152.337876744</v>
      </c>
      <c r="Q46" s="354" cm="1">
        <f t="array" ref="Q46">Q41+Q40+Q43</f>
        <v>106046.752504633</v>
      </c>
      <c r="R46" s="354" cm="1">
        <f t="array" ref="R46">R41+R40+R43</f>
        <v>163273.609307923</v>
      </c>
      <c r="S46" s="354" cm="1">
        <f t="array" ref="S46">S41+S40+S43</f>
        <v>220500.466111213</v>
      </c>
      <c r="T46" s="354" cm="1">
        <f t="array" ref="T46">T41+T40+T43</f>
        <v>277727.322914513</v>
      </c>
      <c r="U46" s="354" cm="1">
        <f t="array" ref="U46">U41+U40+U43</f>
        <v>334954.179717793</v>
      </c>
      <c r="V46" s="354" cm="1">
        <f t="array" ref="V46">V41+V40+V43</f>
        <v>427794.509152313</v>
      </c>
      <c r="W46" s="354" cm="1">
        <f t="array" ref="W46">W41+W40+W43</f>
        <v>478869.857206953</v>
      </c>
      <c r="X46" s="354" cm="1">
        <f t="array" ref="X46">X41+X40+X43</f>
        <v>642937.131903933</v>
      </c>
    </row>
    <row r="47" ht="16.5" customHeight="1">
      <c r="A47" s="301"/>
      <c r="B47" t="s" s="433">
        <v>218</v>
      </c>
      <c r="C47" s="434">
        <v>-377969.39</v>
      </c>
      <c r="D47" s="435" cm="1">
        <f t="array" ref="D47">-D46*34%</f>
        <v>-1281870.62876779</v>
      </c>
      <c r="E47" s="302"/>
      <c r="F47" s="436">
        <v>-38630.8</v>
      </c>
      <c r="G47" s="437">
        <v>0</v>
      </c>
      <c r="H47" s="435">
        <v>0</v>
      </c>
      <c r="I47" s="438">
        <v>0</v>
      </c>
      <c r="J47" s="438"/>
      <c r="K47" s="438"/>
      <c r="L47" s="332"/>
      <c r="M47" s="439" cm="1">
        <f t="array" ref="M47">F47</f>
        <v>-38630.8</v>
      </c>
      <c r="N47" s="440" cm="1">
        <f t="array" ref="N47">H47</f>
        <v>0</v>
      </c>
      <c r="O47" s="437" cm="1">
        <f t="array" ref="O47">J47</f>
        <v>0</v>
      </c>
      <c r="P47" s="437">
        <v>0</v>
      </c>
      <c r="Q47" s="437">
        <v>0</v>
      </c>
      <c r="R47" s="437">
        <v>-183351.52886496</v>
      </c>
      <c r="S47" s="437">
        <v>0</v>
      </c>
      <c r="T47" s="437">
        <v>0</v>
      </c>
      <c r="U47" s="437">
        <v>-217374.65813355</v>
      </c>
      <c r="V47" s="437">
        <v>0</v>
      </c>
      <c r="W47" s="437">
        <v>0</v>
      </c>
      <c r="X47" s="437">
        <v>-261376.98740214</v>
      </c>
    </row>
    <row r="48" ht="15.75" customHeight="1">
      <c r="A48" s="301"/>
      <c r="B48" t="s" s="352">
        <v>219</v>
      </c>
      <c r="C48" s="376" cm="1">
        <f t="array" ref="C48">C46+C47</f>
        <v>-1439664.1130967</v>
      </c>
      <c r="D48" s="355" cm="1">
        <f t="array" ref="D48">D46+D47</f>
        <v>2488337.10290218</v>
      </c>
      <c r="E48" s="302"/>
      <c r="F48" s="353" cm="1">
        <f t="array" ref="F48">F46+F47</f>
        <v>-318568.54</v>
      </c>
      <c r="G48" s="354" cm="1">
        <f t="array" ref="G48">G46+G47</f>
        <v>-140807.672200514</v>
      </c>
      <c r="H48" s="354" cm="1">
        <f t="array" ref="H48">H46+H47</f>
        <v>-243975.72</v>
      </c>
      <c r="I48" s="355" cm="1">
        <f t="array" ref="I48">I46+I47</f>
        <v>-190893.606238883</v>
      </c>
      <c r="J48" s="356" cm="1">
        <f t="array" ref="J48">J46+J47</f>
        <v>-859512.960180699</v>
      </c>
      <c r="K48" s="356" cm="1">
        <f t="array" ref="K48">K46+K47</f>
        <v>53023.978669945</v>
      </c>
      <c r="L48" s="332"/>
      <c r="M48" s="357" cm="1">
        <f t="array" ref="M48">F48</f>
        <v>-318568.54</v>
      </c>
      <c r="N48" s="358" cm="1">
        <f t="array" ref="N48">H48</f>
        <v>-243975.72</v>
      </c>
      <c r="O48" s="354" cm="1">
        <f t="array" ref="O48">J48</f>
        <v>-859512.960180699</v>
      </c>
      <c r="P48" s="354" cm="1">
        <f t="array" ref="P48">P46+P47</f>
        <v>20152.337876744</v>
      </c>
      <c r="Q48" s="354" cm="1">
        <f t="array" ref="Q48">Q46+Q47</f>
        <v>106046.752504633</v>
      </c>
      <c r="R48" s="354" cm="1">
        <f t="array" ref="R48">R46+R47</f>
        <v>-20077.919557037</v>
      </c>
      <c r="S48" s="354" cm="1">
        <f t="array" ref="S48">S46+S47</f>
        <v>220500.466111213</v>
      </c>
      <c r="T48" s="354" cm="1">
        <f t="array" ref="T48">T46+T47</f>
        <v>277727.322914513</v>
      </c>
      <c r="U48" s="354" cm="1">
        <f t="array" ref="U48">U46+U47</f>
        <v>117579.521584243</v>
      </c>
      <c r="V48" s="354" cm="1">
        <f t="array" ref="V48">V46+V47</f>
        <v>427794.509152313</v>
      </c>
      <c r="W48" s="354" cm="1">
        <f t="array" ref="W48">W46+W47</f>
        <v>478869.857206953</v>
      </c>
      <c r="X48" s="354" cm="1">
        <f t="array" ref="X48">X46+X47</f>
        <v>381560.144501793</v>
      </c>
    </row>
    <row r="49" ht="16.5" customHeight="1">
      <c r="A49" s="301"/>
      <c r="B49" s="441"/>
      <c r="C49" s="442"/>
      <c r="D49" s="443"/>
      <c r="E49" s="302"/>
      <c r="F49" s="442"/>
      <c r="G49" s="443"/>
      <c r="H49" s="441"/>
      <c r="I49" s="441"/>
      <c r="J49" s="441"/>
      <c r="K49" s="441"/>
      <c r="L49" s="13"/>
      <c r="M49" s="232"/>
      <c r="N49" s="232"/>
      <c r="O49" s="441"/>
      <c r="P49" s="441"/>
      <c r="Q49" s="441"/>
      <c r="R49" s="441"/>
      <c r="S49" s="441"/>
      <c r="T49" s="441"/>
      <c r="U49" s="441"/>
      <c r="V49" s="441"/>
      <c r="W49" s="441"/>
      <c r="X49" s="444"/>
    </row>
    <row r="50" ht="16" customHeight="1">
      <c r="A50" s="301"/>
      <c r="B50" s="302"/>
      <c r="C50" s="445"/>
      <c r="D50" s="346"/>
      <c r="E50" s="302"/>
      <c r="F50" s="445"/>
      <c r="G50" s="346"/>
      <c r="H50" s="302"/>
      <c r="I50" s="302"/>
      <c r="J50" s="302"/>
      <c r="K50" s="302"/>
      <c r="L50" s="13"/>
      <c r="M50" s="13"/>
      <c r="N50" s="13"/>
      <c r="O50" s="302"/>
      <c r="P50" s="302"/>
      <c r="Q50" s="302"/>
      <c r="R50" s="302"/>
      <c r="S50" s="302"/>
      <c r="T50" s="302"/>
      <c r="U50" s="302"/>
      <c r="V50" s="302"/>
      <c r="W50" s="302"/>
      <c r="X50" s="303"/>
    </row>
    <row r="51" ht="16" customHeight="1">
      <c r="A51" s="301"/>
      <c r="B51" s="302"/>
      <c r="C51" s="445"/>
      <c r="D51" s="346"/>
      <c r="E51" s="302"/>
      <c r="F51" s="445"/>
      <c r="G51" s="346"/>
      <c r="H51" s="302"/>
      <c r="I51" s="302"/>
      <c r="J51" s="302"/>
      <c r="K51" s="302"/>
      <c r="L51" s="13"/>
      <c r="M51" s="13"/>
      <c r="N51" s="13"/>
      <c r="O51" s="302"/>
      <c r="P51" s="302"/>
      <c r="Q51" s="302"/>
      <c r="R51" s="302"/>
      <c r="S51" s="302"/>
      <c r="T51" s="302"/>
      <c r="U51" s="302"/>
      <c r="V51" s="302"/>
      <c r="W51" s="302"/>
      <c r="X51" s="303"/>
    </row>
    <row r="52" ht="16" customHeight="1">
      <c r="A52" s="301"/>
      <c r="B52" s="302"/>
      <c r="C52" s="445"/>
      <c r="D52" s="346"/>
      <c r="E52" s="302"/>
      <c r="F52" s="445"/>
      <c r="G52" s="346"/>
      <c r="H52" s="302"/>
      <c r="I52" s="302"/>
      <c r="J52" s="302"/>
      <c r="K52" s="302"/>
      <c r="L52" s="13"/>
      <c r="M52" s="13"/>
      <c r="N52" s="13"/>
      <c r="O52" s="302"/>
      <c r="P52" s="302"/>
      <c r="Q52" s="302"/>
      <c r="R52" s="302"/>
      <c r="S52" s="302"/>
      <c r="T52" s="302"/>
      <c r="U52" s="302"/>
      <c r="V52" s="302"/>
      <c r="W52" s="302"/>
      <c r="X52" s="303"/>
    </row>
    <row r="53" ht="16" customHeight="1">
      <c r="A53" s="301"/>
      <c r="B53" t="s" s="446">
        <v>220</v>
      </c>
      <c r="C53" s="447"/>
      <c r="D53" s="346"/>
      <c r="E53" s="302"/>
      <c r="F53" s="445"/>
      <c r="G53" s="346"/>
      <c r="H53" s="302"/>
      <c r="I53" s="302"/>
      <c r="J53" s="302"/>
      <c r="K53" s="302"/>
      <c r="L53" s="13"/>
      <c r="M53" s="13"/>
      <c r="N53" s="13"/>
      <c r="O53" s="302"/>
      <c r="P53" s="302"/>
      <c r="Q53" s="302"/>
      <c r="R53" s="302"/>
      <c r="S53" s="302"/>
      <c r="T53" s="302"/>
      <c r="U53" s="302"/>
      <c r="V53" s="302"/>
      <c r="W53" s="302"/>
      <c r="X53" s="303"/>
    </row>
    <row r="54" ht="16" customHeight="1">
      <c r="A54" s="301"/>
      <c r="B54" t="s" s="446">
        <v>221</v>
      </c>
      <c r="C54" s="447" cm="1">
        <f t="array" ref="C54">F19</f>
        <v>-0.300377930771777</v>
      </c>
      <c r="D54" s="346"/>
      <c r="E54" s="302"/>
      <c r="F54" s="302"/>
      <c r="G54" s="302"/>
      <c r="H54" s="302"/>
      <c r="I54" s="302"/>
      <c r="J54" s="302"/>
      <c r="K54" s="302"/>
      <c r="L54" s="13"/>
      <c r="M54" s="13"/>
      <c r="N54" s="13"/>
      <c r="O54" s="302"/>
      <c r="P54" s="302"/>
      <c r="Q54" s="302"/>
      <c r="R54" s="302"/>
      <c r="S54" s="302"/>
      <c r="T54" s="302"/>
      <c r="U54" s="302"/>
      <c r="V54" s="302"/>
      <c r="W54" s="302"/>
      <c r="X54" s="303"/>
    </row>
    <row r="55" ht="16" customHeight="1">
      <c r="A55" s="301"/>
      <c r="B55" t="s" s="446">
        <v>213</v>
      </c>
      <c r="C55" s="448" cm="1">
        <f t="array" ref="C55">F42</f>
        <v>-0.162296123325127</v>
      </c>
      <c r="D55" s="346"/>
      <c r="E55" s="302"/>
      <c r="F55" s="302"/>
      <c r="G55" s="302"/>
      <c r="H55" s="302"/>
      <c r="I55" s="302"/>
      <c r="J55" s="302"/>
      <c r="K55" s="302"/>
      <c r="L55" s="13"/>
      <c r="M55" s="13"/>
      <c r="N55" s="13"/>
      <c r="O55" s="302"/>
      <c r="P55" s="302"/>
      <c r="Q55" s="302"/>
      <c r="R55" s="302"/>
      <c r="S55" s="302"/>
      <c r="T55" s="302"/>
      <c r="U55" s="302"/>
      <c r="V55" s="302"/>
      <c r="W55" s="302"/>
      <c r="X55" s="303"/>
    </row>
    <row r="56" ht="16" customHeight="1">
      <c r="A56" s="301"/>
      <c r="B56" s="302"/>
      <c r="C56" s="445"/>
      <c r="D56" s="346"/>
      <c r="E56" s="302"/>
      <c r="F56" s="302"/>
      <c r="G56" s="302"/>
      <c r="H56" s="302"/>
      <c r="I56" s="302"/>
      <c r="J56" s="302"/>
      <c r="K56" s="302"/>
      <c r="L56" s="13"/>
      <c r="M56" s="13"/>
      <c r="N56" s="13"/>
      <c r="O56" s="302"/>
      <c r="P56" s="302"/>
      <c r="Q56" s="302"/>
      <c r="R56" s="302"/>
      <c r="S56" s="302"/>
      <c r="T56" s="302"/>
      <c r="U56" s="302"/>
      <c r="V56" s="302"/>
      <c r="W56" s="302"/>
      <c r="X56" s="303"/>
    </row>
    <row r="57" ht="16" customHeight="1">
      <c r="A57" s="301"/>
      <c r="B57" s="302"/>
      <c r="C57" s="445"/>
      <c r="D57" s="346"/>
      <c r="E57" s="302"/>
      <c r="F57" s="302"/>
      <c r="G57" s="302"/>
      <c r="H57" s="302"/>
      <c r="I57" s="302"/>
      <c r="J57" s="302"/>
      <c r="K57" s="302"/>
      <c r="L57" s="13"/>
      <c r="M57" s="13"/>
      <c r="N57" s="13"/>
      <c r="O57" s="302"/>
      <c r="P57" s="302"/>
      <c r="Q57" s="302"/>
      <c r="R57" s="302"/>
      <c r="S57" s="302"/>
      <c r="T57" s="302"/>
      <c r="U57" s="302"/>
      <c r="V57" s="302"/>
      <c r="W57" s="302"/>
      <c r="X57" s="303"/>
    </row>
    <row r="58" ht="16" customHeight="1">
      <c r="A58" s="301"/>
      <c r="B58" s="302"/>
      <c r="C58" s="445"/>
      <c r="D58" s="346"/>
      <c r="E58" s="302"/>
      <c r="F58" s="302"/>
      <c r="G58" s="302"/>
      <c r="H58" s="302"/>
      <c r="I58" s="302"/>
      <c r="J58" s="302"/>
      <c r="K58" s="302"/>
      <c r="L58" s="13"/>
      <c r="M58" s="13"/>
      <c r="N58" s="13"/>
      <c r="O58" s="302"/>
      <c r="P58" s="302"/>
      <c r="Q58" s="302"/>
      <c r="R58" s="302"/>
      <c r="S58" s="302"/>
      <c r="T58" s="302"/>
      <c r="U58" s="302"/>
      <c r="V58" s="302"/>
      <c r="W58" s="302"/>
      <c r="X58" s="303"/>
    </row>
    <row r="59" ht="16" customHeight="1">
      <c r="A59" s="301"/>
      <c r="B59" s="302"/>
      <c r="C59" s="445"/>
      <c r="D59" s="346"/>
      <c r="E59" s="302"/>
      <c r="F59" s="302"/>
      <c r="G59" s="302"/>
      <c r="H59" s="302"/>
      <c r="I59" s="302"/>
      <c r="J59" s="302"/>
      <c r="K59" s="302"/>
      <c r="L59" s="13"/>
      <c r="M59" s="13"/>
      <c r="N59" s="13"/>
      <c r="O59" s="302"/>
      <c r="P59" s="302"/>
      <c r="Q59" s="302"/>
      <c r="R59" s="302"/>
      <c r="S59" s="302"/>
      <c r="T59" s="302"/>
      <c r="U59" s="302"/>
      <c r="V59" s="302"/>
      <c r="W59" s="302"/>
      <c r="X59" s="303"/>
    </row>
    <row r="60" ht="16" customHeight="1">
      <c r="A60" s="301"/>
      <c r="B60" s="302"/>
      <c r="C60" s="445"/>
      <c r="D60" s="346"/>
      <c r="E60" s="302"/>
      <c r="F60" s="302"/>
      <c r="G60" s="302"/>
      <c r="H60" s="302"/>
      <c r="I60" s="302"/>
      <c r="J60" s="302"/>
      <c r="K60" s="302"/>
      <c r="L60" s="13"/>
      <c r="M60" s="13"/>
      <c r="N60" s="13"/>
      <c r="O60" s="302"/>
      <c r="P60" s="302"/>
      <c r="Q60" s="302"/>
      <c r="R60" s="302"/>
      <c r="S60" s="302"/>
      <c r="T60" s="302"/>
      <c r="U60" s="302"/>
      <c r="V60" s="302"/>
      <c r="W60" s="302"/>
      <c r="X60" s="303"/>
    </row>
    <row r="61" ht="16" customHeight="1">
      <c r="A61" s="301"/>
      <c r="B61" s="302"/>
      <c r="C61" s="445"/>
      <c r="D61" s="346"/>
      <c r="E61" s="302"/>
      <c r="F61" s="302"/>
      <c r="G61" s="302"/>
      <c r="H61" s="302"/>
      <c r="I61" s="302"/>
      <c r="J61" s="302"/>
      <c r="K61" s="302"/>
      <c r="L61" s="13"/>
      <c r="M61" s="13"/>
      <c r="N61" s="13"/>
      <c r="O61" s="302"/>
      <c r="P61" s="302"/>
      <c r="Q61" s="302"/>
      <c r="R61" s="302"/>
      <c r="S61" s="302"/>
      <c r="T61" s="302"/>
      <c r="U61" s="302"/>
      <c r="V61" s="302"/>
      <c r="W61" s="302"/>
      <c r="X61" s="303"/>
    </row>
    <row r="62" ht="16" customHeight="1">
      <c r="A62" s="301"/>
      <c r="B62" s="302"/>
      <c r="C62" s="445"/>
      <c r="D62" s="346"/>
      <c r="E62" s="302"/>
      <c r="F62" s="302"/>
      <c r="G62" s="302"/>
      <c r="H62" s="302"/>
      <c r="I62" s="302"/>
      <c r="J62" s="302"/>
      <c r="K62" s="302"/>
      <c r="L62" s="13"/>
      <c r="M62" s="13"/>
      <c r="N62" s="13"/>
      <c r="O62" s="302"/>
      <c r="P62" s="302"/>
      <c r="Q62" s="302"/>
      <c r="R62" s="302"/>
      <c r="S62" s="302"/>
      <c r="T62" s="302"/>
      <c r="U62" s="302"/>
      <c r="V62" s="302"/>
      <c r="W62" s="302"/>
      <c r="X62" s="303"/>
    </row>
    <row r="63" ht="16" customHeight="1">
      <c r="A63" s="301"/>
      <c r="B63" s="302"/>
      <c r="C63" s="445"/>
      <c r="D63" s="346"/>
      <c r="E63" s="302"/>
      <c r="F63" s="302"/>
      <c r="G63" s="302"/>
      <c r="H63" s="302"/>
      <c r="I63" s="302"/>
      <c r="J63" s="302"/>
      <c r="K63" s="302"/>
      <c r="L63" s="13"/>
      <c r="M63" s="13"/>
      <c r="N63" s="13"/>
      <c r="O63" s="302"/>
      <c r="P63" s="302"/>
      <c r="Q63" s="302"/>
      <c r="R63" s="302"/>
      <c r="S63" s="302"/>
      <c r="T63" s="302"/>
      <c r="U63" s="302"/>
      <c r="V63" s="302"/>
      <c r="W63" s="302"/>
      <c r="X63" s="303"/>
    </row>
    <row r="64" ht="16" customHeight="1">
      <c r="A64" s="301"/>
      <c r="B64" s="302"/>
      <c r="C64" s="445"/>
      <c r="D64" s="346"/>
      <c r="E64" s="302"/>
      <c r="F64" s="302"/>
      <c r="G64" s="302"/>
      <c r="H64" s="302"/>
      <c r="I64" s="302"/>
      <c r="J64" s="302"/>
      <c r="K64" s="302"/>
      <c r="L64" s="13"/>
      <c r="M64" s="13"/>
      <c r="N64" s="13"/>
      <c r="O64" s="302"/>
      <c r="P64" s="302"/>
      <c r="Q64" s="302"/>
      <c r="R64" s="302"/>
      <c r="S64" s="302"/>
      <c r="T64" s="302"/>
      <c r="U64" s="302"/>
      <c r="V64" s="302"/>
      <c r="W64" s="302"/>
      <c r="X64" s="303"/>
    </row>
    <row r="65" ht="16" customHeight="1">
      <c r="A65" s="301"/>
      <c r="B65" s="302"/>
      <c r="C65" s="445"/>
      <c r="D65" s="346"/>
      <c r="E65" s="302"/>
      <c r="F65" s="302"/>
      <c r="G65" s="302"/>
      <c r="H65" s="302"/>
      <c r="I65" s="302"/>
      <c r="J65" s="302"/>
      <c r="K65" s="302"/>
      <c r="L65" s="13"/>
      <c r="M65" s="13"/>
      <c r="N65" s="13"/>
      <c r="O65" s="302"/>
      <c r="P65" s="302"/>
      <c r="Q65" s="302"/>
      <c r="R65" s="302"/>
      <c r="S65" s="302"/>
      <c r="T65" s="302"/>
      <c r="U65" s="302"/>
      <c r="V65" s="302"/>
      <c r="W65" s="302"/>
      <c r="X65" s="303"/>
    </row>
    <row r="66" ht="16" customHeight="1">
      <c r="A66" s="301"/>
      <c r="B66" s="302"/>
      <c r="C66" s="445"/>
      <c r="D66" s="346"/>
      <c r="E66" s="302"/>
      <c r="F66" s="302"/>
      <c r="G66" s="302"/>
      <c r="H66" s="302"/>
      <c r="I66" s="302"/>
      <c r="J66" s="302"/>
      <c r="K66" s="302"/>
      <c r="L66" s="13"/>
      <c r="M66" s="13"/>
      <c r="N66" s="13"/>
      <c r="O66" s="302"/>
      <c r="P66" s="302"/>
      <c r="Q66" s="302"/>
      <c r="R66" s="302"/>
      <c r="S66" s="302"/>
      <c r="T66" s="302"/>
      <c r="U66" s="302"/>
      <c r="V66" s="302"/>
      <c r="W66" s="302"/>
      <c r="X66" s="303"/>
    </row>
    <row r="67" ht="16" customHeight="1">
      <c r="A67" s="301"/>
      <c r="B67" s="302"/>
      <c r="C67" s="445"/>
      <c r="D67" s="346"/>
      <c r="E67" s="302"/>
      <c r="F67" s="302"/>
      <c r="G67" s="302"/>
      <c r="H67" s="302"/>
      <c r="I67" s="302"/>
      <c r="J67" s="302"/>
      <c r="K67" s="302"/>
      <c r="L67" s="13"/>
      <c r="M67" s="13"/>
      <c r="N67" s="13"/>
      <c r="O67" s="302"/>
      <c r="P67" s="302"/>
      <c r="Q67" s="302"/>
      <c r="R67" s="302"/>
      <c r="S67" s="302"/>
      <c r="T67" s="302"/>
      <c r="U67" s="302"/>
      <c r="V67" s="302"/>
      <c r="W67" s="302"/>
      <c r="X67" s="303"/>
    </row>
    <row r="68" ht="16" customHeight="1">
      <c r="A68" s="301"/>
      <c r="B68" s="302"/>
      <c r="C68" s="445"/>
      <c r="D68" s="346"/>
      <c r="E68" s="302"/>
      <c r="F68" s="302"/>
      <c r="G68" s="302"/>
      <c r="H68" s="302"/>
      <c r="I68" s="302"/>
      <c r="J68" s="302"/>
      <c r="K68" s="302"/>
      <c r="L68" s="13"/>
      <c r="M68" s="13"/>
      <c r="N68" s="13"/>
      <c r="O68" s="302"/>
      <c r="P68" s="302"/>
      <c r="Q68" s="302"/>
      <c r="R68" s="302"/>
      <c r="S68" s="302"/>
      <c r="T68" s="302"/>
      <c r="U68" s="302"/>
      <c r="V68" s="302"/>
      <c r="W68" s="302"/>
      <c r="X68" s="303"/>
    </row>
    <row r="69" ht="16" customHeight="1">
      <c r="A69" s="301"/>
      <c r="B69" s="302"/>
      <c r="C69" s="445"/>
      <c r="D69" s="346"/>
      <c r="E69" s="302"/>
      <c r="F69" s="302"/>
      <c r="G69" s="302"/>
      <c r="H69" s="302"/>
      <c r="I69" s="302"/>
      <c r="J69" s="302"/>
      <c r="K69" s="302"/>
      <c r="L69" s="13"/>
      <c r="M69" s="13"/>
      <c r="N69" s="13"/>
      <c r="O69" s="302"/>
      <c r="P69" s="302"/>
      <c r="Q69" s="302"/>
      <c r="R69" s="302"/>
      <c r="S69" s="302"/>
      <c r="T69" s="302"/>
      <c r="U69" s="302"/>
      <c r="V69" s="302"/>
      <c r="W69" s="302"/>
      <c r="X69" s="303"/>
    </row>
    <row r="70" ht="16" customHeight="1">
      <c r="A70" s="301"/>
      <c r="B70" s="302"/>
      <c r="C70" s="445"/>
      <c r="D70" s="346"/>
      <c r="E70" s="302"/>
      <c r="F70" s="445"/>
      <c r="G70" s="346"/>
      <c r="H70" s="302"/>
      <c r="I70" s="302"/>
      <c r="J70" s="302"/>
      <c r="K70" s="302"/>
      <c r="L70" s="13"/>
      <c r="M70" s="13"/>
      <c r="N70" s="13"/>
      <c r="O70" s="302"/>
      <c r="P70" s="302"/>
      <c r="Q70" s="302"/>
      <c r="R70" s="302"/>
      <c r="S70" s="302"/>
      <c r="T70" s="302"/>
      <c r="U70" s="302"/>
      <c r="V70" s="302"/>
      <c r="W70" s="302"/>
      <c r="X70" s="303"/>
    </row>
    <row r="71" ht="16" customHeight="1">
      <c r="A71" s="301"/>
      <c r="B71" s="302"/>
      <c r="C71" s="445"/>
      <c r="D71" s="346"/>
      <c r="E71" s="302"/>
      <c r="F71" s="445"/>
      <c r="G71" s="346"/>
      <c r="H71" s="302"/>
      <c r="I71" s="302"/>
      <c r="J71" s="302"/>
      <c r="K71" s="302"/>
      <c r="L71" s="13"/>
      <c r="M71" s="13"/>
      <c r="N71" s="13"/>
      <c r="O71" s="302"/>
      <c r="P71" s="302"/>
      <c r="Q71" s="302"/>
      <c r="R71" s="302"/>
      <c r="S71" s="302"/>
      <c r="T71" s="302"/>
      <c r="U71" s="302"/>
      <c r="V71" s="302"/>
      <c r="W71" s="302"/>
      <c r="X71" s="303"/>
    </row>
    <row r="72" ht="16" customHeight="1">
      <c r="A72" s="301"/>
      <c r="B72" s="302"/>
      <c r="C72" s="445"/>
      <c r="D72" s="346"/>
      <c r="E72" s="302"/>
      <c r="F72" s="445"/>
      <c r="G72" s="346"/>
      <c r="H72" s="302"/>
      <c r="I72" s="302"/>
      <c r="J72" s="302"/>
      <c r="K72" s="302"/>
      <c r="L72" s="13"/>
      <c r="M72" s="13"/>
      <c r="N72" s="13"/>
      <c r="O72" s="302"/>
      <c r="P72" s="302"/>
      <c r="Q72" s="302"/>
      <c r="R72" s="302"/>
      <c r="S72" s="302"/>
      <c r="T72" s="302"/>
      <c r="U72" s="302"/>
      <c r="V72" s="302"/>
      <c r="W72" s="302"/>
      <c r="X72" s="303"/>
    </row>
    <row r="73" ht="16" customHeight="1">
      <c r="A73" s="301"/>
      <c r="B73" s="302"/>
      <c r="C73" s="445"/>
      <c r="D73" s="346"/>
      <c r="E73" s="302"/>
      <c r="F73" s="445"/>
      <c r="G73" s="346"/>
      <c r="H73" s="302"/>
      <c r="I73" s="302"/>
      <c r="J73" s="302"/>
      <c r="K73" s="302"/>
      <c r="L73" s="13"/>
      <c r="M73" s="13"/>
      <c r="N73" s="13"/>
      <c r="O73" s="302"/>
      <c r="P73" s="302"/>
      <c r="Q73" s="302"/>
      <c r="R73" s="302"/>
      <c r="S73" s="302"/>
      <c r="T73" s="302"/>
      <c r="U73" s="302"/>
      <c r="V73" s="302"/>
      <c r="W73" s="302"/>
      <c r="X73" s="303"/>
    </row>
    <row r="74" ht="16" customHeight="1">
      <c r="A74" s="301"/>
      <c r="B74" s="302"/>
      <c r="C74" s="445"/>
      <c r="D74" s="346"/>
      <c r="E74" s="302"/>
      <c r="F74" s="445"/>
      <c r="G74" s="346"/>
      <c r="H74" s="302"/>
      <c r="I74" s="302"/>
      <c r="J74" s="302"/>
      <c r="K74" s="302"/>
      <c r="L74" s="13"/>
      <c r="M74" s="13"/>
      <c r="N74" s="13"/>
      <c r="O74" s="302"/>
      <c r="P74" s="302"/>
      <c r="Q74" s="302"/>
      <c r="R74" s="302"/>
      <c r="S74" s="302"/>
      <c r="T74" s="302"/>
      <c r="U74" s="302"/>
      <c r="V74" s="302"/>
      <c r="W74" s="302"/>
      <c r="X74" s="303"/>
    </row>
    <row r="75" ht="16" customHeight="1">
      <c r="A75" s="301"/>
      <c r="B75" s="302"/>
      <c r="C75" s="445"/>
      <c r="D75" s="346"/>
      <c r="E75" s="302"/>
      <c r="F75" s="445"/>
      <c r="G75" s="346"/>
      <c r="H75" s="302"/>
      <c r="I75" s="302"/>
      <c r="J75" s="302"/>
      <c r="K75" s="302"/>
      <c r="L75" s="13"/>
      <c r="M75" s="13"/>
      <c r="N75" s="13"/>
      <c r="O75" s="302"/>
      <c r="P75" s="302"/>
      <c r="Q75" s="302"/>
      <c r="R75" s="302"/>
      <c r="S75" s="302"/>
      <c r="T75" s="302"/>
      <c r="U75" s="302"/>
      <c r="V75" s="302"/>
      <c r="W75" s="302"/>
      <c r="X75" s="303"/>
    </row>
    <row r="76" ht="16" customHeight="1">
      <c r="A76" s="301"/>
      <c r="B76" s="302"/>
      <c r="C76" s="445"/>
      <c r="D76" s="346"/>
      <c r="E76" s="302"/>
      <c r="F76" s="445"/>
      <c r="G76" s="346"/>
      <c r="H76" s="302"/>
      <c r="I76" s="302"/>
      <c r="J76" s="302"/>
      <c r="K76" s="302"/>
      <c r="L76" s="13"/>
      <c r="M76" s="13"/>
      <c r="N76" s="13"/>
      <c r="O76" s="302"/>
      <c r="P76" s="302"/>
      <c r="Q76" s="302"/>
      <c r="R76" s="302"/>
      <c r="S76" s="302"/>
      <c r="T76" s="302"/>
      <c r="U76" s="302"/>
      <c r="V76" s="302"/>
      <c r="W76" s="302"/>
      <c r="X76" s="303"/>
    </row>
    <row r="77" ht="16" customHeight="1">
      <c r="A77" s="301"/>
      <c r="B77" s="302"/>
      <c r="C77" s="445"/>
      <c r="D77" s="346"/>
      <c r="E77" s="302"/>
      <c r="F77" s="445"/>
      <c r="G77" s="346"/>
      <c r="H77" s="302"/>
      <c r="I77" s="302"/>
      <c r="J77" s="302"/>
      <c r="K77" s="302"/>
      <c r="L77" s="13"/>
      <c r="M77" s="13"/>
      <c r="N77" s="13"/>
      <c r="O77" s="302"/>
      <c r="P77" s="302"/>
      <c r="Q77" s="302"/>
      <c r="R77" s="302"/>
      <c r="S77" s="302"/>
      <c r="T77" s="302"/>
      <c r="U77" s="302"/>
      <c r="V77" s="302"/>
      <c r="W77" s="302"/>
      <c r="X77" s="303"/>
    </row>
    <row r="78" ht="16" customHeight="1">
      <c r="A78" s="301"/>
      <c r="B78" s="302"/>
      <c r="C78" s="445"/>
      <c r="D78" s="346"/>
      <c r="E78" s="302"/>
      <c r="F78" s="445"/>
      <c r="G78" s="346"/>
      <c r="H78" s="302"/>
      <c r="I78" s="302"/>
      <c r="J78" s="302"/>
      <c r="K78" s="302"/>
      <c r="L78" s="13"/>
      <c r="M78" s="13"/>
      <c r="N78" s="13"/>
      <c r="O78" s="302"/>
      <c r="P78" s="302"/>
      <c r="Q78" s="302"/>
      <c r="R78" s="302"/>
      <c r="S78" s="302"/>
      <c r="T78" s="302"/>
      <c r="U78" s="302"/>
      <c r="V78" s="302"/>
      <c r="W78" s="302"/>
      <c r="X78" s="303"/>
    </row>
    <row r="79" ht="16" customHeight="1">
      <c r="A79" s="301"/>
      <c r="B79" s="302"/>
      <c r="C79" s="445"/>
      <c r="D79" s="346"/>
      <c r="E79" s="302"/>
      <c r="F79" s="445"/>
      <c r="G79" s="346"/>
      <c r="H79" s="302"/>
      <c r="I79" s="302"/>
      <c r="J79" s="302"/>
      <c r="K79" s="302"/>
      <c r="L79" s="13"/>
      <c r="M79" s="13"/>
      <c r="N79" s="13"/>
      <c r="O79" s="302"/>
      <c r="P79" s="302"/>
      <c r="Q79" s="302"/>
      <c r="R79" s="302"/>
      <c r="S79" s="302"/>
      <c r="T79" s="302"/>
      <c r="U79" s="302"/>
      <c r="V79" s="302"/>
      <c r="W79" s="302"/>
      <c r="X79" s="303"/>
    </row>
    <row r="80" ht="16" customHeight="1">
      <c r="A80" s="301"/>
      <c r="B80" s="302"/>
      <c r="C80" s="445"/>
      <c r="D80" s="346"/>
      <c r="E80" s="302"/>
      <c r="F80" s="445"/>
      <c r="G80" s="346"/>
      <c r="H80" s="302"/>
      <c r="I80" s="302"/>
      <c r="J80" s="302"/>
      <c r="K80" s="302"/>
      <c r="L80" s="13"/>
      <c r="M80" s="13"/>
      <c r="N80" s="13"/>
      <c r="O80" s="302"/>
      <c r="P80" s="302"/>
      <c r="Q80" s="302"/>
      <c r="R80" s="302"/>
      <c r="S80" s="302"/>
      <c r="T80" s="302"/>
      <c r="U80" s="302"/>
      <c r="V80" s="302"/>
      <c r="W80" s="302"/>
      <c r="X80" s="303"/>
    </row>
    <row r="81" ht="16" customHeight="1">
      <c r="A81" s="301"/>
      <c r="B81" s="302"/>
      <c r="C81" s="445"/>
      <c r="D81" s="346"/>
      <c r="E81" s="302"/>
      <c r="F81" s="445"/>
      <c r="G81" s="346"/>
      <c r="H81" s="302"/>
      <c r="I81" s="302"/>
      <c r="J81" s="302"/>
      <c r="K81" s="302"/>
      <c r="L81" s="13"/>
      <c r="M81" s="13"/>
      <c r="N81" s="13"/>
      <c r="O81" s="302"/>
      <c r="P81" s="302"/>
      <c r="Q81" s="302"/>
      <c r="R81" s="302"/>
      <c r="S81" s="302"/>
      <c r="T81" s="302"/>
      <c r="U81" s="302"/>
      <c r="V81" s="302"/>
      <c r="W81" s="302"/>
      <c r="X81" s="303"/>
    </row>
    <row r="82" ht="16" customHeight="1">
      <c r="A82" s="301"/>
      <c r="B82" s="302"/>
      <c r="C82" s="445"/>
      <c r="D82" s="346"/>
      <c r="E82" s="302"/>
      <c r="F82" s="445"/>
      <c r="G82" s="346"/>
      <c r="H82" s="302"/>
      <c r="I82" s="302"/>
      <c r="J82" s="302"/>
      <c r="K82" s="302"/>
      <c r="L82" s="13"/>
      <c r="M82" s="13"/>
      <c r="N82" s="13"/>
      <c r="O82" s="302"/>
      <c r="P82" s="302"/>
      <c r="Q82" s="302"/>
      <c r="R82" s="302"/>
      <c r="S82" s="302"/>
      <c r="T82" s="302"/>
      <c r="U82" s="302"/>
      <c r="V82" s="302"/>
      <c r="W82" s="302"/>
      <c r="X82" s="303"/>
    </row>
    <row r="83" ht="16" customHeight="1">
      <c r="A83" s="301"/>
      <c r="B83" s="302"/>
      <c r="C83" s="445"/>
      <c r="D83" s="346"/>
      <c r="E83" s="302"/>
      <c r="F83" s="445"/>
      <c r="G83" s="346"/>
      <c r="H83" s="302"/>
      <c r="I83" s="302"/>
      <c r="J83" s="302"/>
      <c r="K83" s="302"/>
      <c r="L83" s="13"/>
      <c r="M83" s="13"/>
      <c r="N83" s="13"/>
      <c r="O83" s="302"/>
      <c r="P83" s="302"/>
      <c r="Q83" s="302"/>
      <c r="R83" s="302"/>
      <c r="S83" s="302"/>
      <c r="T83" s="302"/>
      <c r="U83" s="302"/>
      <c r="V83" s="302"/>
      <c r="W83" s="302"/>
      <c r="X83" s="303"/>
    </row>
    <row r="84" ht="16" customHeight="1">
      <c r="A84" s="301"/>
      <c r="B84" s="302"/>
      <c r="C84" s="445"/>
      <c r="D84" s="346"/>
      <c r="E84" s="302"/>
      <c r="F84" s="445"/>
      <c r="G84" s="346"/>
      <c r="H84" s="302"/>
      <c r="I84" s="302"/>
      <c r="J84" s="302"/>
      <c r="K84" s="302"/>
      <c r="L84" s="13"/>
      <c r="M84" s="13"/>
      <c r="N84" s="13"/>
      <c r="O84" s="302"/>
      <c r="P84" s="302"/>
      <c r="Q84" s="302"/>
      <c r="R84" s="302"/>
      <c r="S84" s="302"/>
      <c r="T84" s="302"/>
      <c r="U84" s="302"/>
      <c r="V84" s="302"/>
      <c r="W84" s="302"/>
      <c r="X84" s="303"/>
    </row>
    <row r="85" ht="16" customHeight="1">
      <c r="A85" s="301"/>
      <c r="B85" s="302"/>
      <c r="C85" s="445"/>
      <c r="D85" s="346"/>
      <c r="E85" s="302"/>
      <c r="F85" s="445"/>
      <c r="G85" s="346"/>
      <c r="H85" s="302"/>
      <c r="I85" s="302"/>
      <c r="J85" s="302"/>
      <c r="K85" s="302"/>
      <c r="L85" s="13"/>
      <c r="M85" s="13"/>
      <c r="N85" s="13"/>
      <c r="O85" s="302"/>
      <c r="P85" s="302"/>
      <c r="Q85" s="302"/>
      <c r="R85" s="302"/>
      <c r="S85" s="302"/>
      <c r="T85" s="302"/>
      <c r="U85" s="302"/>
      <c r="V85" s="302"/>
      <c r="W85" s="302"/>
      <c r="X85" s="303"/>
    </row>
    <row r="86" ht="16" customHeight="1">
      <c r="A86" s="301"/>
      <c r="B86" s="302"/>
      <c r="C86" s="445"/>
      <c r="D86" s="346"/>
      <c r="E86" s="302"/>
      <c r="F86" s="445"/>
      <c r="G86" s="346"/>
      <c r="H86" s="302"/>
      <c r="I86" s="302"/>
      <c r="J86" s="302"/>
      <c r="K86" s="302"/>
      <c r="L86" s="13"/>
      <c r="M86" s="13"/>
      <c r="N86" s="13"/>
      <c r="O86" s="302"/>
      <c r="P86" s="302"/>
      <c r="Q86" s="302"/>
      <c r="R86" s="302"/>
      <c r="S86" s="302"/>
      <c r="T86" s="302"/>
      <c r="U86" s="302"/>
      <c r="V86" s="302"/>
      <c r="W86" s="302"/>
      <c r="X86" s="303"/>
    </row>
    <row r="87" ht="16" customHeight="1">
      <c r="A87" s="301"/>
      <c r="B87" s="302"/>
      <c r="C87" s="445"/>
      <c r="D87" s="346"/>
      <c r="E87" s="302"/>
      <c r="F87" s="445"/>
      <c r="G87" s="346"/>
      <c r="H87" s="302"/>
      <c r="I87" s="302"/>
      <c r="J87" s="302"/>
      <c r="K87" s="302"/>
      <c r="L87" s="13"/>
      <c r="M87" s="13"/>
      <c r="N87" s="13"/>
      <c r="O87" s="302"/>
      <c r="P87" s="302"/>
      <c r="Q87" s="302"/>
      <c r="R87" s="302"/>
      <c r="S87" s="302"/>
      <c r="T87" s="302"/>
      <c r="U87" s="302"/>
      <c r="V87" s="302"/>
      <c r="W87" s="302"/>
      <c r="X87" s="303"/>
    </row>
    <row r="88" ht="16" customHeight="1">
      <c r="A88" s="301"/>
      <c r="B88" s="302"/>
      <c r="C88" s="445"/>
      <c r="D88" s="346"/>
      <c r="E88" s="302"/>
      <c r="F88" s="445"/>
      <c r="G88" s="346"/>
      <c r="H88" s="302"/>
      <c r="I88" s="302"/>
      <c r="J88" s="302"/>
      <c r="K88" s="302"/>
      <c r="L88" s="13"/>
      <c r="M88" s="13"/>
      <c r="N88" s="13"/>
      <c r="O88" s="302"/>
      <c r="P88" s="302"/>
      <c r="Q88" s="302"/>
      <c r="R88" s="302"/>
      <c r="S88" s="302"/>
      <c r="T88" s="302"/>
      <c r="U88" s="302"/>
      <c r="V88" s="302"/>
      <c r="W88" s="302"/>
      <c r="X88" s="303"/>
    </row>
    <row r="89" ht="16" customHeight="1">
      <c r="A89" s="301"/>
      <c r="B89" s="302"/>
      <c r="C89" s="445"/>
      <c r="D89" s="346"/>
      <c r="E89" s="302"/>
      <c r="F89" s="445"/>
      <c r="G89" s="346"/>
      <c r="H89" s="302"/>
      <c r="I89" s="302"/>
      <c r="J89" s="302"/>
      <c r="K89" s="302"/>
      <c r="L89" s="13"/>
      <c r="M89" s="13"/>
      <c r="N89" s="13"/>
      <c r="O89" s="302"/>
      <c r="P89" s="302"/>
      <c r="Q89" s="302"/>
      <c r="R89" s="302"/>
      <c r="S89" s="302"/>
      <c r="T89" s="302"/>
      <c r="U89" s="302"/>
      <c r="V89" s="302"/>
      <c r="W89" s="302"/>
      <c r="X89" s="303"/>
    </row>
    <row r="90" ht="16" customHeight="1">
      <c r="A90" s="301"/>
      <c r="B90" s="302"/>
      <c r="C90" s="445"/>
      <c r="D90" s="346"/>
      <c r="E90" s="302"/>
      <c r="F90" s="445"/>
      <c r="G90" s="346"/>
      <c r="H90" s="302"/>
      <c r="I90" s="302"/>
      <c r="J90" s="302"/>
      <c r="K90" s="302"/>
      <c r="L90" s="13"/>
      <c r="M90" s="13"/>
      <c r="N90" s="13"/>
      <c r="O90" s="302"/>
      <c r="P90" s="302"/>
      <c r="Q90" s="302"/>
      <c r="R90" s="302"/>
      <c r="S90" s="302"/>
      <c r="T90" s="302"/>
      <c r="U90" s="302"/>
      <c r="V90" s="302"/>
      <c r="W90" s="302"/>
      <c r="X90" s="303"/>
    </row>
    <row r="91" ht="16" customHeight="1">
      <c r="A91" s="301"/>
      <c r="B91" s="302"/>
      <c r="C91" s="445"/>
      <c r="D91" s="346"/>
      <c r="E91" s="302"/>
      <c r="F91" s="445"/>
      <c r="G91" s="346"/>
      <c r="H91" s="302"/>
      <c r="I91" s="302"/>
      <c r="J91" s="302"/>
      <c r="K91" s="302"/>
      <c r="L91" s="13"/>
      <c r="M91" s="13"/>
      <c r="N91" s="13"/>
      <c r="O91" s="302"/>
      <c r="P91" s="302"/>
      <c r="Q91" s="302"/>
      <c r="R91" s="302"/>
      <c r="S91" s="302"/>
      <c r="T91" s="302"/>
      <c r="U91" s="302"/>
      <c r="V91" s="302"/>
      <c r="W91" s="302"/>
      <c r="X91" s="303"/>
    </row>
    <row r="92" ht="16" customHeight="1">
      <c r="A92" s="301"/>
      <c r="B92" s="302"/>
      <c r="C92" s="445"/>
      <c r="D92" s="346"/>
      <c r="E92" s="302"/>
      <c r="F92" s="445"/>
      <c r="G92" s="346"/>
      <c r="H92" s="302"/>
      <c r="I92" s="302"/>
      <c r="J92" s="302"/>
      <c r="K92" s="302"/>
      <c r="L92" s="13"/>
      <c r="M92" s="13"/>
      <c r="N92" s="13"/>
      <c r="O92" s="302"/>
      <c r="P92" s="302"/>
      <c r="Q92" s="302"/>
      <c r="R92" s="302"/>
      <c r="S92" s="302"/>
      <c r="T92" s="302"/>
      <c r="U92" s="302"/>
      <c r="V92" s="302"/>
      <c r="W92" s="302"/>
      <c r="X92" s="303"/>
    </row>
    <row r="93" ht="16" customHeight="1">
      <c r="A93" s="301"/>
      <c r="B93" s="302"/>
      <c r="C93" s="445"/>
      <c r="D93" s="346"/>
      <c r="E93" s="302"/>
      <c r="F93" s="445"/>
      <c r="G93" s="346"/>
      <c r="H93" s="302"/>
      <c r="I93" s="302"/>
      <c r="J93" s="302"/>
      <c r="K93" s="302"/>
      <c r="L93" s="13"/>
      <c r="M93" s="13"/>
      <c r="N93" s="13"/>
      <c r="O93" s="302"/>
      <c r="P93" s="302"/>
      <c r="Q93" s="302"/>
      <c r="R93" s="302"/>
      <c r="S93" s="302"/>
      <c r="T93" s="302"/>
      <c r="U93" s="302"/>
      <c r="V93" s="302"/>
      <c r="W93" s="302"/>
      <c r="X93" s="303"/>
    </row>
    <row r="94" ht="16" customHeight="1">
      <c r="A94" s="301"/>
      <c r="B94" s="302"/>
      <c r="C94" s="445"/>
      <c r="D94" s="346"/>
      <c r="E94" s="302"/>
      <c r="F94" s="445"/>
      <c r="G94" s="346"/>
      <c r="H94" s="302"/>
      <c r="I94" s="302"/>
      <c r="J94" s="302"/>
      <c r="K94" s="302"/>
      <c r="L94" s="13"/>
      <c r="M94" s="13"/>
      <c r="N94" s="13"/>
      <c r="O94" s="302"/>
      <c r="P94" s="302"/>
      <c r="Q94" s="302"/>
      <c r="R94" s="302"/>
      <c r="S94" s="302"/>
      <c r="T94" s="302"/>
      <c r="U94" s="302"/>
      <c r="V94" s="302"/>
      <c r="W94" s="302"/>
      <c r="X94" s="303"/>
    </row>
    <row r="95" ht="16" customHeight="1">
      <c r="A95" s="301"/>
      <c r="B95" s="302"/>
      <c r="C95" s="445"/>
      <c r="D95" s="346"/>
      <c r="E95" s="302"/>
      <c r="F95" s="445"/>
      <c r="G95" s="346"/>
      <c r="H95" s="302"/>
      <c r="I95" s="302"/>
      <c r="J95" s="302"/>
      <c r="K95" s="302"/>
      <c r="L95" s="13"/>
      <c r="M95" s="13"/>
      <c r="N95" s="13"/>
      <c r="O95" s="302"/>
      <c r="P95" s="302"/>
      <c r="Q95" s="302"/>
      <c r="R95" s="302"/>
      <c r="S95" s="302"/>
      <c r="T95" s="302"/>
      <c r="U95" s="302"/>
      <c r="V95" s="302"/>
      <c r="W95" s="302"/>
      <c r="X95" s="303"/>
    </row>
    <row r="96" ht="15.75" customHeight="1">
      <c r="A96" s="449"/>
      <c r="B96" s="450"/>
      <c r="C96" s="451"/>
      <c r="D96" s="452"/>
      <c r="E96" s="453"/>
      <c r="F96" s="454"/>
      <c r="G96" s="455"/>
      <c r="H96" s="450"/>
      <c r="I96" s="450"/>
      <c r="J96" s="450"/>
      <c r="K96" s="450"/>
      <c r="L96" s="161"/>
      <c r="M96" s="161"/>
      <c r="N96" s="161"/>
      <c r="O96" s="450"/>
      <c r="P96" s="450"/>
      <c r="Q96" s="450"/>
      <c r="R96" s="450"/>
      <c r="S96" s="450"/>
      <c r="T96" s="450"/>
      <c r="U96" s="450"/>
      <c r="V96" s="450"/>
      <c r="W96" s="450"/>
      <c r="X96" s="45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P18"/>
  <sheetViews>
    <sheetView workbookViewId="0" showGridLines="0" defaultGridColor="1"/>
  </sheetViews>
  <sheetFormatPr defaultColWidth="8.83333" defaultRowHeight="13.5" customHeight="1" outlineLevelRow="0" outlineLevelCol="0"/>
  <cols>
    <col min="1" max="1" width="9.17188" style="457" customWidth="1"/>
    <col min="2" max="2" width="26" style="457" customWidth="1"/>
    <col min="3" max="3" width="10.6719" style="457" customWidth="1"/>
    <col min="4" max="4" width="5.85156" style="457" customWidth="1"/>
    <col min="5" max="5" width="10.6719" style="457" customWidth="1"/>
    <col min="6" max="6" width="5.85156" style="457" customWidth="1"/>
    <col min="7" max="7" width="9.67188" style="457" customWidth="1"/>
    <col min="8" max="8" width="7" style="457" customWidth="1"/>
    <col min="9" max="9" width="9.67188" style="457" customWidth="1"/>
    <col min="10" max="10" width="5.67188" style="457" customWidth="1"/>
    <col min="11" max="11" width="9.67188" style="457" customWidth="1"/>
    <col min="12" max="12" width="5.5" style="457" customWidth="1"/>
    <col min="13" max="13" width="9.67188" style="457" customWidth="1"/>
    <col min="14" max="14" width="5.67188" style="457" customWidth="1"/>
    <col min="15" max="15" width="12.5" style="457" customWidth="1"/>
    <col min="16" max="16" width="9.35156" style="457" customWidth="1"/>
    <col min="17" max="16384" width="8.85156" style="457" customWidth="1"/>
  </cols>
  <sheetData>
    <row r="1" ht="16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11"/>
    </row>
    <row r="2" ht="16" customHeight="1">
      <c r="A2" s="12"/>
      <c r="B2" s="458">
        <v>46023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7"/>
    </row>
    <row r="3" ht="16" customHeight="1">
      <c r="A3" s="12"/>
      <c r="B3" t="s" s="459">
        <v>223</v>
      </c>
      <c r="C3" s="460">
        <v>0.610240985197123</v>
      </c>
      <c r="D3" s="461"/>
      <c r="E3" s="460">
        <v>0.251258341611751</v>
      </c>
      <c r="F3" s="461"/>
      <c r="G3" s="460">
        <v>0.026458410137871</v>
      </c>
      <c r="H3" s="461"/>
      <c r="I3" s="460">
        <v>0.0387737287425206</v>
      </c>
      <c r="J3" s="461"/>
      <c r="K3" s="460">
        <v>0.0601674995610008</v>
      </c>
      <c r="L3" s="461"/>
      <c r="M3" s="460">
        <v>0.0131010347497338</v>
      </c>
      <c r="N3" s="461"/>
      <c r="O3" s="460" cm="1">
        <f t="array" ref="O3">O5/$O$5</f>
        <v>1</v>
      </c>
      <c r="P3" s="17"/>
    </row>
    <row r="4" ht="16.5" customHeight="1">
      <c r="A4" s="12"/>
      <c r="B4" s="13"/>
      <c r="C4" t="s" s="462">
        <v>224</v>
      </c>
      <c r="D4" s="463"/>
      <c r="E4" t="s" s="462">
        <v>65</v>
      </c>
      <c r="F4" s="463"/>
      <c r="G4" t="s" s="462">
        <v>68</v>
      </c>
      <c r="H4" s="463"/>
      <c r="I4" t="s" s="462">
        <v>67</v>
      </c>
      <c r="J4" s="463"/>
      <c r="K4" t="s" s="462">
        <v>225</v>
      </c>
      <c r="L4" s="463"/>
      <c r="M4" t="s" s="462">
        <v>70</v>
      </c>
      <c r="N4" s="464"/>
      <c r="O4" t="s" s="462">
        <v>226</v>
      </c>
      <c r="P4" s="17"/>
    </row>
    <row r="5" ht="16.5" customHeight="1">
      <c r="A5" s="12"/>
      <c r="B5" t="s" s="465">
        <v>185</v>
      </c>
      <c r="C5" s="63">
        <v>1032650.68</v>
      </c>
      <c r="D5" s="15"/>
      <c r="E5" s="63">
        <v>425179.73</v>
      </c>
      <c r="F5" s="14"/>
      <c r="G5" s="63">
        <v>44772.96</v>
      </c>
      <c r="H5" s="14"/>
      <c r="I5" s="63">
        <v>65612.960000000006</v>
      </c>
      <c r="J5" s="14"/>
      <c r="K5" s="63">
        <v>101815.53</v>
      </c>
      <c r="L5" s="14"/>
      <c r="M5" s="63">
        <v>22169.59</v>
      </c>
      <c r="N5" s="466"/>
      <c r="O5" s="467" cm="1">
        <f t="array" ref="O5">C5+E5+G5+I5+K5+M5</f>
        <v>1692201.45</v>
      </c>
      <c r="P5" s="17"/>
    </row>
    <row r="6" ht="16.5" customHeight="1">
      <c r="A6" s="12"/>
      <c r="B6" t="s" s="468">
        <v>187</v>
      </c>
      <c r="C6" s="469">
        <v>-117949.058790675</v>
      </c>
      <c r="D6" s="470" cm="1">
        <f t="array" ref="D6">C6/C$5</f>
        <v>-0.11421970766598</v>
      </c>
      <c r="E6" s="469">
        <v>-48561.2912387946</v>
      </c>
      <c r="F6" s="470" cm="1">
        <f t="array" ref="F6">E6/E$5</f>
        <v>-0.114213561495028</v>
      </c>
      <c r="G6" s="469">
        <v>-5113.679220274450</v>
      </c>
      <c r="H6" s="470" cm="1">
        <f t="array" ref="H6">G6/G$5</f>
        <v>-0.114213561495028</v>
      </c>
      <c r="I6" s="469">
        <v>-7474.420323431790</v>
      </c>
      <c r="J6" s="470" cm="1">
        <f t="array" ref="J6">I6/I$5</f>
        <v>-0.113916828678843</v>
      </c>
      <c r="K6" s="469">
        <v>-11628.7142968039</v>
      </c>
      <c r="L6" s="470" cm="1">
        <f t="array" ref="L6">K6/K$5</f>
        <v>-0.114213561495028</v>
      </c>
      <c r="M6" s="469">
        <v>-2532.067830784570</v>
      </c>
      <c r="N6" s="470" cm="1">
        <f t="array" ref="N6">M6/M$5</f>
        <v>-0.114213561495029</v>
      </c>
      <c r="O6" s="471" cm="1">
        <f t="array" ref="O6">'DRE Report'!F16</f>
        <v>-245572.01</v>
      </c>
      <c r="P6" s="472" cm="1">
        <f t="array" ref="P6">O6/O$5</f>
        <v>-0.145119843739645</v>
      </c>
    </row>
    <row r="7" ht="16.5" customHeight="1">
      <c r="A7" s="12"/>
      <c r="B7" t="s" s="473">
        <v>188</v>
      </c>
      <c r="C7" s="474" cm="1">
        <f t="array" ref="C7">C6+C5</f>
        <v>914701.621209325</v>
      </c>
      <c r="D7" s="475" cm="1">
        <f t="array" ref="D7">C7/C$5</f>
        <v>0.88578029233402</v>
      </c>
      <c r="E7" s="474" cm="1">
        <f t="array" ref="E7">E6+E5</f>
        <v>376618.438761205</v>
      </c>
      <c r="F7" s="475" cm="1">
        <f t="array" ref="F7">E7/E$5</f>
        <v>0.885786438504971</v>
      </c>
      <c r="G7" s="474" cm="1">
        <f t="array" ref="G7">G6+G5</f>
        <v>39659.2807797256</v>
      </c>
      <c r="H7" s="475" cm="1">
        <f t="array" ref="H7">G7/G$5</f>
        <v>0.885786438504973</v>
      </c>
      <c r="I7" s="474" cm="1">
        <f t="array" ref="I7">I6+I5</f>
        <v>58138.5396765682</v>
      </c>
      <c r="J7" s="475" cm="1">
        <f t="array" ref="J7">I7/I$5</f>
        <v>0.886083171321157</v>
      </c>
      <c r="K7" s="474" cm="1">
        <f t="array" ref="K7">K6+K5</f>
        <v>90186.8157031961</v>
      </c>
      <c r="L7" s="475" cm="1">
        <f t="array" ref="L7">K7/K$5</f>
        <v>0.885786438504972</v>
      </c>
      <c r="M7" s="474" cm="1">
        <f t="array" ref="M7">M6+M5</f>
        <v>19637.5221692154</v>
      </c>
      <c r="N7" s="475" cm="1">
        <f t="array" ref="N7">M7/M$5</f>
        <v>0.88578643850497</v>
      </c>
      <c r="O7" s="476" cm="1">
        <f t="array" ref="O7">O5+O6</f>
        <v>1446629.44</v>
      </c>
      <c r="P7" s="477" cm="1">
        <f t="array" ref="P7">O7/O$5</f>
        <v>0.854880156260355</v>
      </c>
    </row>
    <row r="8" ht="16.5" customHeight="1">
      <c r="A8" s="12"/>
      <c r="B8" t="s" s="478">
        <v>227</v>
      </c>
      <c r="C8" s="479">
        <v>-347025.94</v>
      </c>
      <c r="D8" s="470" cm="1">
        <f t="array" ref="D8">C8/C$5</f>
        <v>-0.336053562662642</v>
      </c>
      <c r="E8" s="479">
        <v>-112267.6</v>
      </c>
      <c r="F8" s="470" cm="1">
        <f t="array" ref="F8">E8/E$5</f>
        <v>-0.264047394733517</v>
      </c>
      <c r="G8" s="479">
        <v>-13484.75</v>
      </c>
      <c r="H8" s="470" cm="1">
        <f t="array" ref="H8">G8/G$5</f>
        <v>-0.301180667974599</v>
      </c>
      <c r="I8" s="479">
        <v>-13122.592</v>
      </c>
      <c r="J8" s="470" cm="1">
        <f t="array" ref="J8">I8/I$5</f>
        <v>-0.2</v>
      </c>
      <c r="K8" s="479">
        <v>-16605.24</v>
      </c>
      <c r="L8" s="470" cm="1">
        <f t="array" ref="L8">K8/K$5</f>
        <v>-0.163091426229378</v>
      </c>
      <c r="M8" s="479">
        <v>-4433.918</v>
      </c>
      <c r="N8" s="470" cm="1">
        <f t="array" ref="N8">M8/M$5</f>
        <v>-0.2</v>
      </c>
      <c r="O8" s="480" cm="1">
        <f t="array" ref="O8">'DRE Report'!F18</f>
        <v>-508299.97</v>
      </c>
      <c r="P8" s="472" cm="1">
        <f t="array" ref="P8">O8/O$5</f>
        <v>-0.300377930771777</v>
      </c>
    </row>
    <row r="9" ht="16.5" customHeight="1">
      <c r="A9" s="12"/>
      <c r="B9" t="s" s="473">
        <v>191</v>
      </c>
      <c r="C9" s="474">
        <v>567675.681209325</v>
      </c>
      <c r="D9" s="475" cm="1">
        <f t="array" ref="D9">C9/C$5</f>
        <v>0.549726729671378</v>
      </c>
      <c r="E9" s="474" cm="1">
        <f t="array" ref="E9">E7+E8</f>
        <v>264350.838761205</v>
      </c>
      <c r="F9" s="475" cm="1">
        <f t="array" ref="F9">E9/E$5</f>
        <v>0.6217390437714539</v>
      </c>
      <c r="G9" s="474" cm="1">
        <f t="array" ref="G9">G7+G8</f>
        <v>26174.5307797256</v>
      </c>
      <c r="H9" s="475" cm="1">
        <f t="array" ref="H9">G9/G$5</f>
        <v>0.584605770530374</v>
      </c>
      <c r="I9" s="474" cm="1">
        <f t="array" ref="I9">I7+I8</f>
        <v>45015.9476765682</v>
      </c>
      <c r="J9" s="475" cm="1">
        <f t="array" ref="J9">I9/I$5</f>
        <v>0.686083171321157</v>
      </c>
      <c r="K9" s="474" cm="1">
        <f t="array" ref="K9">K7+K8</f>
        <v>73581.5757031961</v>
      </c>
      <c r="L9" s="475" cm="1">
        <f t="array" ref="L9">K9/K$5</f>
        <v>0.722695012275594</v>
      </c>
      <c r="M9" s="474" cm="1">
        <f t="array" ref="M9">M7+M8</f>
        <v>15203.6041692154</v>
      </c>
      <c r="N9" s="475" cm="1">
        <f t="array" ref="N9">M9/M$5</f>
        <v>0.68578643850497</v>
      </c>
      <c r="O9" s="476" cm="1">
        <f t="array" ref="O9">O7+O8</f>
        <v>938329.47</v>
      </c>
      <c r="P9" s="477" cm="1">
        <f t="array" ref="P9">O9/O$5</f>
        <v>0.554502225488579</v>
      </c>
    </row>
    <row r="10" ht="16.5" customHeight="1">
      <c r="A10" s="12"/>
      <c r="B10" t="s" s="64">
        <v>228</v>
      </c>
      <c r="C10" s="69">
        <v>-332875.722216554</v>
      </c>
      <c r="D10" s="470" cm="1">
        <f t="array" ref="D10">C10/C$5</f>
        <v>-0.32235075099796</v>
      </c>
      <c r="E10" s="69">
        <v>-96473.351339337707</v>
      </c>
      <c r="F10" s="470" cm="1">
        <f t="array" ref="F10">E10/E$5</f>
        <v>-0.226900166052925</v>
      </c>
      <c r="G10" s="69">
        <v>-10158.992058681</v>
      </c>
      <c r="H10" s="470" cm="1">
        <f t="array" ref="H10">G10/G$5</f>
        <v>-0.226900166052926</v>
      </c>
      <c r="I10" s="69">
        <v>-14887.5915192239</v>
      </c>
      <c r="J10" s="470" cm="1">
        <f t="array" ref="J10">I10/I$5</f>
        <v>-0.226900166052925</v>
      </c>
      <c r="K10" s="69">
        <v>-23101.9606637665</v>
      </c>
      <c r="L10" s="470" cm="1">
        <f t="array" ref="L10">K10/K$5</f>
        <v>-0.226900166052924</v>
      </c>
      <c r="M10" s="69">
        <v>-5030.283652325260</v>
      </c>
      <c r="N10" s="470" cm="1">
        <f t="array" ref="N10">M10/M$5</f>
        <v>-0.226900166052925</v>
      </c>
      <c r="O10" s="481" cm="1">
        <f t="array" ref="O10">'DRE Report'!F23</f>
        <v>-565593.41</v>
      </c>
      <c r="P10" s="472" cm="1">
        <f t="array" ref="P10">O10/O$5</f>
        <v>-0.334235270865653</v>
      </c>
    </row>
    <row r="11" ht="16.5" customHeight="1">
      <c r="A11" s="12"/>
      <c r="B11" t="s" s="468">
        <v>229</v>
      </c>
      <c r="C11" s="469">
        <v>-481930.149099351</v>
      </c>
      <c r="D11" s="470" cm="1">
        <f t="array" ref="D11">C11/C$5</f>
        <v>-0.466692327263418</v>
      </c>
      <c r="E11" s="469">
        <v>-32258.4853880342</v>
      </c>
      <c r="F11" s="470" cm="1">
        <f t="array" ref="F11">E11/E$5</f>
        <v>-0.0758702334846353</v>
      </c>
      <c r="G11" s="469">
        <v>-15931.7914888889</v>
      </c>
      <c r="H11" s="470" cm="1">
        <f t="array" ref="H11">G11/G$5</f>
        <v>-0.35583511764442</v>
      </c>
      <c r="I11" s="469">
        <v>-14582.3267418803</v>
      </c>
      <c r="J11" s="470" cm="1">
        <f t="array" ref="J11">I11/I$5</f>
        <v>-0.222247658722915</v>
      </c>
      <c r="K11" s="469">
        <v>-18358.1057418803</v>
      </c>
      <c r="L11" s="470" cm="1">
        <f t="array" ref="L11">K11/K$5</f>
        <v>-0.180307520295581</v>
      </c>
      <c r="M11" s="469">
        <v>-3986.383769230770</v>
      </c>
      <c r="N11" s="470" cm="1">
        <f t="array" ref="N11">M11/M$5</f>
        <v>-0.179813148065921</v>
      </c>
      <c r="O11" s="471" cm="1">
        <f t="array" ref="O11">'DRE Report'!F22</f>
        <v>-607518.41</v>
      </c>
      <c r="P11" s="472" cm="1">
        <f t="array" ref="P11">O11/O$5</f>
        <v>-0.359010689891561</v>
      </c>
    </row>
    <row r="12" ht="16.5" customHeight="1">
      <c r="A12" s="12"/>
      <c r="B12" t="s" s="473">
        <v>212</v>
      </c>
      <c r="C12" s="474" cm="1">
        <f t="array" ref="C12">C9+C11+C10</f>
        <v>-247130.19010658</v>
      </c>
      <c r="D12" s="470" cm="1">
        <f t="array" ref="D12">C12/C$5</f>
        <v>-0.239316348589999</v>
      </c>
      <c r="E12" s="474" cm="1">
        <f t="array" ref="E12">E9+E11+E10</f>
        <v>135619.002033833</v>
      </c>
      <c r="F12" s="470" cm="1">
        <f t="array" ref="F12">E12/E$5</f>
        <v>0.318968644233894</v>
      </c>
      <c r="G12" s="474" cm="1">
        <f t="array" ref="G12">G9+G11+G10</f>
        <v>83.7472321557</v>
      </c>
      <c r="H12" s="470" cm="1">
        <f t="array" ref="H12">G12/G$5</f>
        <v>0.00187048683302824</v>
      </c>
      <c r="I12" s="474" cm="1">
        <f t="array" ref="I12">I9+I11+I10</f>
        <v>15546.029415464</v>
      </c>
      <c r="J12" s="470" cm="1">
        <f t="array" ref="J12">I12/I$5</f>
        <v>0.236935346545317</v>
      </c>
      <c r="K12" s="474" cm="1">
        <f t="array" ref="K12">K9+K11+K10</f>
        <v>32121.5092975493</v>
      </c>
      <c r="L12" s="470" cm="1">
        <f t="array" ref="L12">K12/K$5</f>
        <v>0.315487325927089</v>
      </c>
      <c r="M12" s="474" cm="1">
        <f t="array" ref="M12">M9+M11+M10</f>
        <v>6186.936747659370</v>
      </c>
      <c r="N12" s="470" cm="1">
        <f t="array" ref="N12">M12/M$5</f>
        <v>0.279073124386124</v>
      </c>
      <c r="O12" s="476" cm="1">
        <f t="array" ref="O12">O9+O10+O11</f>
        <v>-234782.35</v>
      </c>
      <c r="P12" s="477" cm="1">
        <f t="array" ref="P12">O12/O$5</f>
        <v>-0.138743735268635</v>
      </c>
    </row>
    <row r="13" ht="16.5" customHeight="1">
      <c r="A13" s="12"/>
      <c r="B13" s="482"/>
      <c r="C13" s="232"/>
      <c r="D13" s="13"/>
      <c r="E13" s="232"/>
      <c r="F13" s="13"/>
      <c r="G13" s="232"/>
      <c r="H13" s="13"/>
      <c r="I13" s="232"/>
      <c r="J13" s="13"/>
      <c r="K13" s="232"/>
      <c r="L13" s="13"/>
      <c r="M13" s="232"/>
      <c r="N13" s="13"/>
      <c r="O13" s="481"/>
      <c r="P13" s="17"/>
    </row>
    <row r="14" ht="16" customHeight="1">
      <c r="A14" s="12"/>
      <c r="B14" s="13"/>
      <c r="C14" s="141"/>
      <c r="D14" s="13"/>
      <c r="E14" s="141"/>
      <c r="F14" s="13"/>
      <c r="G14" s="141"/>
      <c r="H14" s="13"/>
      <c r="I14" s="141"/>
      <c r="J14" s="13"/>
      <c r="K14" s="141"/>
      <c r="L14" s="13"/>
      <c r="M14" s="141"/>
      <c r="N14" s="13"/>
      <c r="O14" s="141"/>
      <c r="P14" s="17"/>
    </row>
    <row r="15" ht="16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</row>
    <row r="16" ht="16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1"/>
      <c r="P16" s="17"/>
    </row>
    <row r="17" ht="16" customHeight="1">
      <c r="A17" s="12"/>
      <c r="B17" s="13"/>
      <c r="C17" s="141"/>
      <c r="D17" s="141"/>
      <c r="E17" s="141"/>
      <c r="F17" s="141"/>
      <c r="G17" s="141"/>
      <c r="H17" s="141"/>
      <c r="I17" s="141"/>
      <c r="J17" s="141"/>
      <c r="K17" s="141"/>
      <c r="L17" s="13"/>
      <c r="M17" s="141"/>
      <c r="N17" s="13"/>
      <c r="O17" s="13"/>
      <c r="P17" s="17"/>
    </row>
    <row r="18" ht="16" customHeight="1">
      <c r="A18" s="160"/>
      <c r="B18" s="161"/>
      <c r="C18" s="483"/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161"/>
      <c r="O18" s="161"/>
      <c r="P18" s="16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15"/>
  <sheetViews>
    <sheetView workbookViewId="0" showGridLines="0" defaultGridColor="1"/>
  </sheetViews>
  <sheetFormatPr defaultColWidth="8" defaultRowHeight="15" customHeight="1" outlineLevelRow="0" outlineLevelCol="0"/>
  <cols>
    <col min="1" max="1" width="2.5" style="484" customWidth="1"/>
    <col min="2" max="2" hidden="1" width="8" style="484" customWidth="1"/>
    <col min="3" max="5" width="11" style="484" customWidth="1"/>
    <col min="6" max="6" width="1.5" style="484" customWidth="1"/>
    <col min="7" max="16" width="8.5" style="484" customWidth="1"/>
    <col min="17" max="17" width="8" style="484" customWidth="1"/>
    <col min="18" max="16384" width="8" style="484" customWidth="1"/>
  </cols>
  <sheetData>
    <row r="1" ht="15" customHeight="1">
      <c r="A1" s="485"/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8"/>
      <c r="P1" s="486"/>
      <c r="Q1" s="487"/>
    </row>
    <row r="2" ht="15" customHeight="1">
      <c r="A2" s="488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13"/>
      <c r="P2" s="489"/>
      <c r="Q2" s="490"/>
    </row>
    <row r="3" ht="25.5" customHeight="1">
      <c r="A3" s="488"/>
      <c r="B3" s="491"/>
      <c r="C3" t="s" s="492">
        <v>230</v>
      </c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13"/>
      <c r="P3" s="493" cm="1">
        <f t="array" ref="P3">TODAY()</f>
        <v>46143</v>
      </c>
      <c r="Q3" s="490"/>
    </row>
    <row r="4" ht="8" customHeight="1">
      <c r="A4" s="488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0"/>
    </row>
    <row r="5" ht="16" customHeight="1">
      <c r="A5" s="488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0"/>
    </row>
    <row r="6" ht="15" customHeight="1">
      <c r="A6" t="s" s="496">
        <v>231</v>
      </c>
      <c r="B6" s="497"/>
      <c r="C6" t="s" s="498">
        <v>230</v>
      </c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t="s" s="499">
        <v>231</v>
      </c>
    </row>
    <row r="7" ht="16" customHeight="1">
      <c r="A7" s="488"/>
      <c r="B7" s="489"/>
      <c r="C7" s="489"/>
      <c r="D7" s="489"/>
      <c r="E7" s="489"/>
      <c r="F7" s="489"/>
      <c r="G7" s="489"/>
      <c r="H7" s="489"/>
      <c r="I7" s="489"/>
      <c r="J7" s="489"/>
      <c r="K7" s="489"/>
      <c r="L7" s="489"/>
      <c r="M7" s="489"/>
      <c r="N7" s="489"/>
      <c r="O7" s="489"/>
      <c r="P7" s="489"/>
      <c r="Q7" s="490"/>
    </row>
    <row r="8" ht="15" customHeight="1">
      <c r="A8" s="488"/>
      <c r="B8" s="489"/>
      <c r="C8" t="s" s="500">
        <v>232</v>
      </c>
      <c r="D8" t="s" s="500">
        <v>233</v>
      </c>
      <c r="E8" t="s" s="500">
        <v>234</v>
      </c>
      <c r="F8" s="489"/>
      <c r="G8" t="s" s="500">
        <v>235</v>
      </c>
      <c r="H8" t="s" s="500">
        <v>236</v>
      </c>
      <c r="I8" s="489"/>
      <c r="J8" s="489"/>
      <c r="K8" s="489"/>
      <c r="L8" s="489"/>
      <c r="M8" s="489"/>
      <c r="N8" s="489"/>
      <c r="O8" s="489"/>
      <c r="P8" s="489"/>
      <c r="Q8" s="490"/>
    </row>
    <row r="9" ht="15" customHeight="1">
      <c r="A9" s="488"/>
      <c r="B9" s="489"/>
      <c r="C9" s="501">
        <v>1</v>
      </c>
      <c r="D9" t="s" s="502">
        <v>237</v>
      </c>
      <c r="E9" t="s" s="502">
        <v>17</v>
      </c>
      <c r="F9" s="489"/>
      <c r="G9" t="s" s="502">
        <v>238</v>
      </c>
      <c r="H9" t="s" s="502">
        <v>239</v>
      </c>
      <c r="I9" s="489"/>
      <c r="J9" s="489"/>
      <c r="K9" s="489"/>
      <c r="L9" s="489"/>
      <c r="M9" s="489"/>
      <c r="N9" s="489"/>
      <c r="O9" s="489"/>
      <c r="P9" s="489"/>
      <c r="Q9" s="490"/>
    </row>
    <row r="10" ht="15" customHeight="1">
      <c r="A10" s="488"/>
      <c r="B10" s="489"/>
      <c r="C10" s="503" cm="1">
        <f t="array" ref="C10">C9+1</f>
        <v>2</v>
      </c>
      <c r="D10" t="s" s="504">
        <v>240</v>
      </c>
      <c r="E10" t="s" s="504">
        <v>18</v>
      </c>
      <c r="F10" s="489"/>
      <c r="G10" t="s" s="504">
        <v>241</v>
      </c>
      <c r="H10" t="s" s="504">
        <v>242</v>
      </c>
      <c r="I10" s="489"/>
      <c r="J10" s="489"/>
      <c r="K10" s="489"/>
      <c r="L10" s="489"/>
      <c r="M10" s="489"/>
      <c r="N10" s="489"/>
      <c r="O10" s="489"/>
      <c r="P10" s="489"/>
      <c r="Q10" s="490"/>
    </row>
    <row r="11" ht="15" customHeight="1">
      <c r="A11" s="488"/>
      <c r="B11" s="489"/>
      <c r="C11" s="501" cm="1">
        <f t="array" ref="C11">C10+1</f>
        <v>3</v>
      </c>
      <c r="D11" t="s" s="502">
        <v>243</v>
      </c>
      <c r="E11" t="s" s="502">
        <v>19</v>
      </c>
      <c r="F11" s="489"/>
      <c r="G11" t="s" s="502">
        <v>244</v>
      </c>
      <c r="H11" t="s" s="502">
        <v>245</v>
      </c>
      <c r="I11" s="489"/>
      <c r="J11" s="489"/>
      <c r="K11" s="489"/>
      <c r="L11" s="489"/>
      <c r="M11" s="489"/>
      <c r="N11" s="489"/>
      <c r="O11" s="489"/>
      <c r="P11" s="489"/>
      <c r="Q11" s="490"/>
    </row>
    <row r="12" ht="15" customHeight="1">
      <c r="A12" s="488"/>
      <c r="B12" s="489"/>
      <c r="C12" s="503" cm="1">
        <f t="array" ref="C12">C11+1</f>
        <v>4</v>
      </c>
      <c r="D12" t="s" s="504">
        <v>246</v>
      </c>
      <c r="E12" t="s" s="504">
        <v>13</v>
      </c>
      <c r="F12" s="489"/>
      <c r="G12" t="s" s="504">
        <v>247</v>
      </c>
      <c r="H12" t="s" s="504">
        <v>248</v>
      </c>
      <c r="I12" s="489"/>
      <c r="J12" s="489"/>
      <c r="K12" s="489"/>
      <c r="L12" s="489"/>
      <c r="M12" s="489"/>
      <c r="N12" s="489"/>
      <c r="O12" s="489"/>
      <c r="P12" s="489"/>
      <c r="Q12" s="490"/>
    </row>
    <row r="13" ht="15" customHeight="1">
      <c r="A13" s="488"/>
      <c r="B13" s="489"/>
      <c r="C13" s="501" cm="1">
        <f t="array" ref="C13">C12+1</f>
        <v>5</v>
      </c>
      <c r="D13" t="s" s="502">
        <v>243</v>
      </c>
      <c r="E13" t="s" s="502">
        <v>14</v>
      </c>
      <c r="F13" s="489"/>
      <c r="G13" s="489"/>
      <c r="H13" s="489"/>
      <c r="I13" s="489"/>
      <c r="J13" s="489"/>
      <c r="K13" s="489"/>
      <c r="L13" s="489"/>
      <c r="M13" s="489"/>
      <c r="N13" s="489"/>
      <c r="O13" s="489"/>
      <c r="P13" s="489"/>
      <c r="Q13" s="490"/>
    </row>
    <row r="14" ht="15" customHeight="1">
      <c r="A14" s="488"/>
      <c r="B14" s="489"/>
      <c r="C14" s="503" cm="1">
        <f t="array" ref="C14">C13+1</f>
        <v>6</v>
      </c>
      <c r="D14" t="s" s="504">
        <v>249</v>
      </c>
      <c r="E14" t="s" s="504">
        <v>15</v>
      </c>
      <c r="F14" s="489"/>
      <c r="G14" s="489"/>
      <c r="H14" s="489"/>
      <c r="I14" s="489"/>
      <c r="J14" s="489"/>
      <c r="K14" s="489"/>
      <c r="L14" s="489"/>
      <c r="M14" s="489"/>
      <c r="N14" s="489"/>
      <c r="O14" s="489"/>
      <c r="P14" s="489"/>
      <c r="Q14" s="490"/>
    </row>
    <row r="15" ht="15" customHeight="1">
      <c r="A15" s="505"/>
      <c r="B15" s="506"/>
      <c r="C15" s="507" cm="1">
        <f t="array" ref="C15">C14+1</f>
        <v>7</v>
      </c>
      <c r="D15" t="s" s="508">
        <v>237</v>
      </c>
      <c r="E15" t="s" s="508">
        <v>176</v>
      </c>
      <c r="F15" s="506"/>
      <c r="G15" s="506"/>
      <c r="H15" s="506"/>
      <c r="I15" s="506"/>
      <c r="J15" s="506"/>
      <c r="K15" s="506"/>
      <c r="L15" s="506"/>
      <c r="M15" s="506"/>
      <c r="N15" s="506"/>
      <c r="O15" s="506"/>
      <c r="P15" s="506"/>
      <c r="Q15" s="50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